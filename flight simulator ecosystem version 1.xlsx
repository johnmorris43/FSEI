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showInkAnnotation="0" defaultThemeVersion="166925"/>
  <mc:AlternateContent xmlns:mc="http://schemas.openxmlformats.org/markup-compatibility/2006">
    <mc:Choice Requires="x15">
      <x15ac:absPath xmlns:x15ac="http://schemas.microsoft.com/office/spreadsheetml/2010/11/ac" url="/Volumes/PRO-G40/FSEI/"/>
    </mc:Choice>
  </mc:AlternateContent>
  <xr:revisionPtr revIDLastSave="0" documentId="8_{2E2B99FB-5085-2545-A9A2-1094513073D6}" xr6:coauthVersionLast="47" xr6:coauthVersionMax="47" xr10:uidLastSave="{00000000-0000-0000-0000-000000000000}"/>
  <bookViews>
    <workbookView xWindow="4420" yWindow="640" windowWidth="25820" windowHeight="19000" firstSheet="9" activeTab="14" xr2:uid="{00000000-000D-0000-FFFF-FFFF00000000}"/>
  </bookViews>
  <sheets>
    <sheet name="Dashboard " sheetId="1" r:id="rId1"/>
    <sheet name="---- MANUFACTURERS ----" sheetId="23" r:id="rId2"/>
    <sheet name="Manufacturers_DB" sheetId="21" r:id="rId3"/>
    <sheet name="---- AIRCRAFT ----" sheetId="22" r:id="rId4"/>
    <sheet name="Aircraft-db" sheetId="2" r:id="rId5"/>
    <sheet name="Aircraft_Variants" sheetId="12" r:id="rId6"/>
    <sheet name="Engines_DB" sheetId="13" r:id="rId7"/>
    <sheet name="Variant-Engines" sheetId="14" r:id="rId8"/>
    <sheet name="Aircraft_Configurations" sheetId="16" r:id="rId9"/>
    <sheet name="Systems_Depth" sheetId="10" r:id="rId10"/>
    <sheet name="Evaluation_Sources" sheetId="15" r:id="rId11"/>
    <sheet name="---- AVIONICS ----" sheetId="24" r:id="rId12"/>
    <sheet name="Avionics_DB" sheetId="17" r:id="rId13"/>
    <sheet name="Configuration_Avionics" sheetId="18" r:id="rId14"/>
    <sheet name="Avionics_Evaluations" sheetId="19" r:id="rId15"/>
    <sheet name="Avionics_Evaluation_Sources" sheetId="20" r:id="rId16"/>
    <sheet name="---- EVIDENCE ----" sheetId="25" r:id="rId17"/>
    <sheet name="Sources_DB" sheetId="11" r:id="rId18"/>
    <sheet name="---- SCENERY ----" sheetId="26" r:id="rId19"/>
    <sheet name="Airport-db" sheetId="3" r:id="rId20"/>
    <sheet name="---- DEVELOPERS ----" sheetId="27" r:id="rId21"/>
    <sheet name="Developer-db" sheetId="4" r:id="rId22"/>
    <sheet name="---- SCORING ----" sheetId="28" r:id="rId23"/>
    <sheet name="Quarterly_data" sheetId="5" r:id="rId24"/>
    <sheet name="Weight_Settings" sheetId="6" r:id="rId25"/>
    <sheet name="Scoring_engine" sheetId="7" r:id="rId26"/>
    <sheet name="Forecast " sheetId="8" r:id="rId27"/>
    <sheet name="---- ADMIN ----" sheetId="29" r:id="rId28"/>
    <sheet name="Documentation " sheetId="9" r:id="rId29"/>
  </sheets>
  <definedNames>
    <definedName name="_xlnm._FilterDatabase" localSheetId="0" hidden="1">'Dashboard '!$A$5:$A$7</definedName>
    <definedName name="Aircraft_ID">tblAircraft[Aircraft ID]</definedName>
    <definedName name="AircraftIDs">tblAircraft[Aircraft ID]</definedName>
    <definedName name="Avionics_Evaluation_ID">tblAvionicsEvaluations[Avionics Evaluation ID]</definedName>
    <definedName name="Avionics_Evaluation_Source_ID">tblAvionicsEvaluationSources[Avionics Evaluation Source ID]</definedName>
    <definedName name="Avionics_Evidence_Role">'Documentation '!$I$21:$I$23</definedName>
    <definedName name="Avionics_ID">tblAvionics[Avionics ID]</definedName>
    <definedName name="Avionics_Type">'Documentation '!$I$3:$I$12</definedName>
    <definedName name="Configuration_Avionics_ID">tblConfigurationAvionics[Configuration Avionics ID]</definedName>
    <definedName name="Configuration_ID">tblAircraftConfigurations[Configuration ID]</definedName>
    <definedName name="Engine_ID">tblEngines[Engine_ID]</definedName>
    <definedName name="Evaluation_ID">tblSystemsDepth[Evaluation ID]</definedName>
    <definedName name="Evaluation_Scope">'Documentation '!$E$21:$E$23</definedName>
    <definedName name="Evidence_Scope">'Documentation '!$C$21:$C$25</definedName>
    <definedName name="Manufacturer_ID">tblManufacturers[Manufacturers ID]</definedName>
    <definedName name="Source_ID">tblSources[Source ID]</definedName>
    <definedName name="Variant_ID">tblAircraftVariants[Variant ID]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0" i="19" l="1"/>
  <c r="D20" i="19"/>
  <c r="F20" i="19" s="1"/>
  <c r="O20" i="19"/>
  <c r="C19" i="19"/>
  <c r="E19" i="19" s="1"/>
  <c r="D19" i="19"/>
  <c r="F19" i="19"/>
  <c r="O19" i="19"/>
  <c r="C18" i="19"/>
  <c r="D18" i="19"/>
  <c r="F18" i="19"/>
  <c r="O18" i="19"/>
  <c r="C17" i="19"/>
  <c r="D17" i="19"/>
  <c r="F17" i="19"/>
  <c r="O17" i="19"/>
  <c r="C16" i="19"/>
  <c r="D16" i="19"/>
  <c r="F16" i="19"/>
  <c r="O16" i="19"/>
  <c r="C15" i="19"/>
  <c r="D15" i="19"/>
  <c r="E15" i="19"/>
  <c r="F15" i="19"/>
  <c r="O15" i="19"/>
  <c r="C14" i="19"/>
  <c r="D14" i="19"/>
  <c r="E14" i="19"/>
  <c r="F14" i="19"/>
  <c r="O14" i="19"/>
  <c r="C13" i="19"/>
  <c r="D13" i="19"/>
  <c r="E13" i="19"/>
  <c r="F13" i="19"/>
  <c r="O13" i="19"/>
  <c r="C12" i="19"/>
  <c r="E12" i="19" s="1"/>
  <c r="D12" i="19"/>
  <c r="F12" i="19" s="1"/>
  <c r="O12" i="19"/>
  <c r="C11" i="19"/>
  <c r="D11" i="19"/>
  <c r="F11" i="19"/>
  <c r="O11" i="19"/>
  <c r="D20" i="18"/>
  <c r="E20" i="18"/>
  <c r="D19" i="18"/>
  <c r="E19" i="18"/>
  <c r="D18" i="18"/>
  <c r="E18" i="18"/>
  <c r="D17" i="18"/>
  <c r="E17" i="18"/>
  <c r="D16" i="18"/>
  <c r="E16" i="18"/>
  <c r="D15" i="18"/>
  <c r="E15" i="18"/>
  <c r="D14" i="18"/>
  <c r="E14" i="18"/>
  <c r="D13" i="18"/>
  <c r="E13" i="18"/>
  <c r="D12" i="18"/>
  <c r="E12" i="18"/>
  <c r="D11" i="18"/>
  <c r="E11" i="18"/>
  <c r="E13" i="15"/>
  <c r="D21" i="11"/>
  <c r="F21" i="11"/>
  <c r="G21" i="11"/>
  <c r="K21" i="11"/>
  <c r="M21" i="11"/>
  <c r="D20" i="11"/>
  <c r="F20" i="11"/>
  <c r="G20" i="11"/>
  <c r="K20" i="11"/>
  <c r="M20" i="11"/>
  <c r="E7" i="10"/>
  <c r="F7" i="10"/>
  <c r="D13" i="15" s="1"/>
  <c r="G7" i="10"/>
  <c r="M7" i="10"/>
  <c r="H7" i="2" s="1"/>
  <c r="C7" i="16"/>
  <c r="D7" i="16"/>
  <c r="E7" i="16"/>
  <c r="D12" i="15"/>
  <c r="E12" i="15"/>
  <c r="C9" i="12"/>
  <c r="D9" i="12"/>
  <c r="C10" i="19"/>
  <c r="D10" i="19"/>
  <c r="F10" i="19" s="1"/>
  <c r="O10" i="19"/>
  <c r="C9" i="19"/>
  <c r="D9" i="19"/>
  <c r="F9" i="19" s="1"/>
  <c r="O9" i="19"/>
  <c r="C8" i="19"/>
  <c r="D8" i="19"/>
  <c r="F8" i="19" s="1"/>
  <c r="O8" i="19"/>
  <c r="D10" i="18"/>
  <c r="E10" i="18"/>
  <c r="D9" i="18"/>
  <c r="E9" i="18"/>
  <c r="D8" i="18"/>
  <c r="E8" i="18"/>
  <c r="C7" i="19"/>
  <c r="D7" i="19"/>
  <c r="F7" i="19" s="1"/>
  <c r="O7" i="19"/>
  <c r="C4" i="19"/>
  <c r="D6" i="19"/>
  <c r="F6" i="19" s="1"/>
  <c r="D7" i="18"/>
  <c r="E7" i="18"/>
  <c r="D19" i="11"/>
  <c r="F19" i="11"/>
  <c r="G19" i="11"/>
  <c r="K19" i="11"/>
  <c r="M19" i="11"/>
  <c r="D18" i="11"/>
  <c r="F18" i="11"/>
  <c r="G18" i="11"/>
  <c r="K18" i="11"/>
  <c r="M18" i="11"/>
  <c r="E11" i="15"/>
  <c r="E10" i="15"/>
  <c r="M4" i="10"/>
  <c r="H4" i="2" s="1"/>
  <c r="M5" i="10"/>
  <c r="H5" i="2" s="1"/>
  <c r="M6" i="10"/>
  <c r="H6" i="2" s="1"/>
  <c r="E6" i="10"/>
  <c r="F6" i="10"/>
  <c r="G6" i="10"/>
  <c r="C6" i="19"/>
  <c r="O6" i="19"/>
  <c r="D17" i="11"/>
  <c r="F17" i="11"/>
  <c r="G17" i="11"/>
  <c r="D16" i="11"/>
  <c r="F16" i="11"/>
  <c r="G16" i="11"/>
  <c r="D6" i="18"/>
  <c r="E6" i="18"/>
  <c r="C6" i="16"/>
  <c r="D8" i="14"/>
  <c r="E8" i="14"/>
  <c r="C8" i="12"/>
  <c r="D8" i="12"/>
  <c r="E9" i="15"/>
  <c r="E8" i="15"/>
  <c r="E5" i="10"/>
  <c r="F5" i="10"/>
  <c r="G5" i="10"/>
  <c r="D15" i="11"/>
  <c r="F15" i="11"/>
  <c r="G15" i="11"/>
  <c r="K15" i="11"/>
  <c r="D14" i="11"/>
  <c r="F14" i="11"/>
  <c r="G14" i="11"/>
  <c r="O4" i="19"/>
  <c r="O5" i="19"/>
  <c r="D5" i="18"/>
  <c r="E5" i="18"/>
  <c r="C5" i="16"/>
  <c r="D7" i="14"/>
  <c r="E7" i="14"/>
  <c r="C7" i="12"/>
  <c r="D7" i="12"/>
  <c r="D13" i="11"/>
  <c r="F13" i="11"/>
  <c r="G13" i="11"/>
  <c r="C5" i="19"/>
  <c r="D5" i="19"/>
  <c r="F5" i="19" s="1"/>
  <c r="D4" i="19"/>
  <c r="F4" i="19" s="1"/>
  <c r="E4" i="18"/>
  <c r="D4" i="18"/>
  <c r="C4" i="16"/>
  <c r="E4" i="10"/>
  <c r="E4" i="15"/>
  <c r="E5" i="15"/>
  <c r="E6" i="15"/>
  <c r="E7" i="15"/>
  <c r="D12" i="11"/>
  <c r="F12" i="11"/>
  <c r="G12" i="11"/>
  <c r="D11" i="11"/>
  <c r="F11" i="11"/>
  <c r="G11" i="11"/>
  <c r="D10" i="11"/>
  <c r="F10" i="11"/>
  <c r="G10" i="11"/>
  <c r="D9" i="11"/>
  <c r="F9" i="11"/>
  <c r="G9" i="11"/>
  <c r="D8" i="11"/>
  <c r="F8" i="11"/>
  <c r="G8" i="11"/>
  <c r="D7" i="11"/>
  <c r="F7" i="11"/>
  <c r="G7" i="11"/>
  <c r="D6" i="11"/>
  <c r="F6" i="11"/>
  <c r="G6" i="11"/>
  <c r="D5" i="11"/>
  <c r="F5" i="11"/>
  <c r="G5" i="11"/>
  <c r="D4" i="11"/>
  <c r="D6" i="14"/>
  <c r="E6" i="14"/>
  <c r="D5" i="14"/>
  <c r="E5" i="14"/>
  <c r="E4" i="14"/>
  <c r="D4" i="14"/>
  <c r="C6" i="12"/>
  <c r="D6" i="12"/>
  <c r="C5" i="12"/>
  <c r="D5" i="12"/>
  <c r="D4" i="12"/>
  <c r="G4" i="11"/>
  <c r="F4" i="11"/>
  <c r="G4" i="10"/>
  <c r="F4" i="10"/>
  <c r="K2" i="9"/>
  <c r="J5" i="7" a="1"/>
  <c r="B6" i="1" s="1"/>
  <c r="C6" i="1" s="1"/>
  <c r="J6" i="7" a="1"/>
  <c r="B7" i="1" s="1"/>
  <c r="C7" i="1" s="1"/>
  <c r="J4" i="7" a="1"/>
  <c r="B5" i="1" s="1"/>
  <c r="C5" i="1" s="1"/>
  <c r="B12" i="6"/>
  <c r="C4" i="12"/>
  <c r="E11" i="19" l="1"/>
  <c r="E20" i="19"/>
  <c r="E16" i="19"/>
  <c r="E18" i="19"/>
  <c r="E17" i="19"/>
  <c r="D10" i="15"/>
  <c r="D11" i="15"/>
  <c r="E15" i="20"/>
  <c r="E14" i="20"/>
  <c r="E13" i="20"/>
  <c r="E12" i="20"/>
  <c r="E11" i="20"/>
  <c r="E10" i="20"/>
  <c r="E9" i="20"/>
  <c r="E8" i="20"/>
  <c r="D6" i="16"/>
  <c r="E6" i="19" s="1"/>
  <c r="E6" i="16"/>
  <c r="E5" i="16"/>
  <c r="D5" i="16"/>
  <c r="E5" i="19" s="1"/>
  <c r="D9" i="15"/>
  <c r="D8" i="15"/>
  <c r="E7" i="20"/>
  <c r="E6" i="20"/>
  <c r="E5" i="20"/>
  <c r="E4" i="20"/>
  <c r="E4" i="16"/>
  <c r="D4" i="16"/>
  <c r="D4" i="15"/>
  <c r="D5" i="15"/>
  <c r="D6" i="15"/>
  <c r="D7" i="15"/>
  <c r="D11" i="20" l="1"/>
  <c r="D10" i="20"/>
  <c r="E4" i="19"/>
  <c r="E10" i="19"/>
  <c r="E9" i="19"/>
  <c r="E8" i="19"/>
  <c r="E7" i="19"/>
  <c r="D9" i="20"/>
  <c r="D8" i="20"/>
  <c r="D5" i="20" l="1"/>
  <c r="D6" i="20"/>
  <c r="D4" i="20"/>
  <c r="D7" i="20"/>
  <c r="D15" i="20"/>
  <c r="D13" i="20"/>
  <c r="D12" i="20"/>
  <c r="D14" i="2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<sst xmlns="http://schemas.openxmlformats.org/spreadsheetml/2006/main" count="535" uniqueCount="349">
  <si>
    <t xml:space="preserve">FSEI DASHBOARD </t>
  </si>
  <si>
    <t xml:space="preserve">Overall ranking </t>
  </si>
  <si>
    <t xml:space="preserve">Simulator </t>
  </si>
  <si>
    <t>Score</t>
  </si>
  <si>
    <t xml:space="preserve">MSFS 2024 </t>
  </si>
  <si>
    <t>XPlane 12</t>
  </si>
  <si>
    <t>P3D</t>
  </si>
  <si>
    <t>FSEI Weight Settings</t>
  </si>
  <si>
    <t>Metric</t>
  </si>
  <si>
    <t>Weight</t>
  </si>
  <si>
    <t>Study-Level Aircraft</t>
  </si>
  <si>
    <t>Aircraft Quality</t>
  </si>
  <si>
    <t>Active Developers</t>
  </si>
  <si>
    <t>Airport Scenery</t>
  </si>
  <si>
    <t>Release Velocity</t>
  </si>
  <si>
    <t>Update Frequency</t>
  </si>
  <si>
    <t>Community Growth</t>
  </si>
  <si>
    <t>Performance</t>
  </si>
  <si>
    <t>Total Weight</t>
  </si>
  <si>
    <t>FSEI Scoring Engine</t>
  </si>
  <si>
    <t>Simulator</t>
  </si>
  <si>
    <t>FSEI Score</t>
  </si>
  <si>
    <t>MSFS 2024</t>
  </si>
  <si>
    <t>X-Plane 12</t>
  </si>
  <si>
    <t>Prepar3D</t>
  </si>
  <si>
    <t>Rank</t>
  </si>
  <si>
    <t>FSEI Aircraft Database</t>
  </si>
  <si>
    <t>Aircraft</t>
  </si>
  <si>
    <t>Developer</t>
  </si>
  <si>
    <t>Aircraft Type</t>
  </si>
  <si>
    <t>Flight Model Quality</t>
  </si>
  <si>
    <t>User Rating</t>
  </si>
  <si>
    <t>Release Date</t>
  </si>
  <si>
    <t>Status</t>
  </si>
  <si>
    <t>Source</t>
  </si>
  <si>
    <t>Last Updated</t>
  </si>
  <si>
    <t>Update Method</t>
  </si>
  <si>
    <t>Updater Generation</t>
  </si>
  <si>
    <t>Notes</t>
  </si>
  <si>
    <t>Simulator List</t>
  </si>
  <si>
    <t>FlightFactor</t>
  </si>
  <si>
    <t>Aircraft List Type</t>
  </si>
  <si>
    <t>Airliner</t>
  </si>
  <si>
    <t>General Aviation</t>
  </si>
  <si>
    <t>Business Jet</t>
  </si>
  <si>
    <t>Military</t>
  </si>
  <si>
    <t>Helicopter</t>
  </si>
  <si>
    <t>Other</t>
  </si>
  <si>
    <t>Status List</t>
  </si>
  <si>
    <t>Active</t>
  </si>
  <si>
    <t>Legacy</t>
  </si>
  <si>
    <t>In Development</t>
  </si>
  <si>
    <t>Discontinued</t>
  </si>
  <si>
    <t>Update Method List</t>
  </si>
  <si>
    <t>SkunkCrafts Updater</t>
  </si>
  <si>
    <t>Developer Updater</t>
  </si>
  <si>
    <t>Store / Marketplace</t>
  </si>
  <si>
    <t>Manual Download</t>
  </si>
  <si>
    <t>Automatic / In-Sim</t>
  </si>
  <si>
    <t>X-Updater</t>
  </si>
  <si>
    <t>Update Tool</t>
  </si>
  <si>
    <t>MSFS 2020</t>
  </si>
  <si>
    <t>X-Plane 11</t>
  </si>
  <si>
    <t>Systems Depth</t>
  </si>
  <si>
    <t>FSEI Systems Depth Database</t>
  </si>
  <si>
    <t>Aircraft ID</t>
  </si>
  <si>
    <t>Electrical Systems</t>
  </si>
  <si>
    <t>Hydraulic / Pneumatic Systems</t>
  </si>
  <si>
    <t>FMS / Navigation Depth</t>
  </si>
  <si>
    <t>Failures / Abnormal Procedures</t>
  </si>
  <si>
    <t>Procedural Fidelity</t>
  </si>
  <si>
    <t>Systems Depth Score</t>
  </si>
  <si>
    <t>Date Verified</t>
  </si>
  <si>
    <t>Next Aircraft ID</t>
  </si>
  <si>
    <t>Systems Depth Component Scale</t>
  </si>
  <si>
    <r>
      <t>0</t>
    </r>
    <r>
      <rPr>
        <sz val="14"/>
        <color theme="1"/>
        <rFont val="Calibri"/>
        <family val="2"/>
        <scheme val="minor"/>
      </rPr>
      <t xml:space="preserve"> = Not modeled / nonfunctional</t>
    </r>
  </si>
  <si>
    <r>
      <t>5</t>
    </r>
    <r>
      <rPr>
        <sz val="14"/>
        <color theme="1"/>
        <rFont val="Calibri"/>
        <family val="2"/>
        <scheme val="minor"/>
      </rPr>
      <t xml:space="preserve"> = Basic simulation only</t>
    </r>
  </si>
  <si>
    <r>
      <t>10</t>
    </r>
    <r>
      <rPr>
        <sz val="14"/>
        <color theme="1"/>
        <rFont val="Calibri"/>
        <family val="2"/>
        <scheme val="minor"/>
      </rPr>
      <t xml:space="preserve"> = Moderate depth; core functions modeled</t>
    </r>
  </si>
  <si>
    <r>
      <t>15</t>
    </r>
    <r>
      <rPr>
        <sz val="14"/>
        <color theme="1"/>
        <rFont val="Calibri"/>
        <family val="2"/>
        <scheme val="minor"/>
      </rPr>
      <t xml:space="preserve"> = High-fidelity simulation with realistic procedures</t>
    </r>
  </si>
  <si>
    <r>
      <t>20</t>
    </r>
    <r>
      <rPr>
        <sz val="14"/>
        <color theme="1"/>
        <rFont val="Calibri"/>
        <family val="2"/>
        <scheme val="minor"/>
      </rPr>
      <t xml:space="preserve"> = Exceptional depth; highly complete and close to real-world system behavior</t>
    </r>
  </si>
  <si>
    <t>FSEI Sources Database</t>
  </si>
  <si>
    <t>Source ID</t>
  </si>
  <si>
    <t>Source Type</t>
  </si>
  <si>
    <t>Source URL</t>
  </si>
  <si>
    <t>Date Assessed</t>
  </si>
  <si>
    <t>Active Source</t>
  </si>
  <si>
    <t>Source Type List</t>
  </si>
  <si>
    <t>Developer Documentation</t>
  </si>
  <si>
    <t>Aircraft Manual</t>
  </si>
  <si>
    <t>Developer Changelog</t>
  </si>
  <si>
    <t>Independent Review</t>
  </si>
  <si>
    <t>Hands-On Evaluation</t>
  </si>
  <si>
    <t>Community Report</t>
  </si>
  <si>
    <t>Source Name</t>
  </si>
  <si>
    <t>FlightFactor 777 v2 Product Documentation</t>
  </si>
  <si>
    <t>FSEI Aircraft Variants Database</t>
  </si>
  <si>
    <t>Variant ID</t>
  </si>
  <si>
    <t>Variant</t>
  </si>
  <si>
    <t>777-200ER</t>
  </si>
  <si>
    <t>777-300ER</t>
  </si>
  <si>
    <t>777F</t>
  </si>
  <si>
    <t>FSEI Engines Database</t>
  </si>
  <si>
    <t>Engine_ID</t>
  </si>
  <si>
    <t>Engine Model</t>
  </si>
  <si>
    <t>Engine Type</t>
  </si>
  <si>
    <t>GE</t>
  </si>
  <si>
    <t>GE90-90B</t>
  </si>
  <si>
    <t>Turbofan</t>
  </si>
  <si>
    <t>GE90-115BL</t>
  </si>
  <si>
    <t>Used in the 777-200ER</t>
  </si>
  <si>
    <t>Used in the 777-300ER</t>
  </si>
  <si>
    <t>Used in the 777F</t>
  </si>
  <si>
    <t>FSEI Variant Engine Database</t>
  </si>
  <si>
    <t>Variant Engine ID</t>
  </si>
  <si>
    <t xml:space="preserve">Engine ID </t>
  </si>
  <si>
    <t xml:space="preserve">Engine Model </t>
  </si>
  <si>
    <t>GE90-110B1L</t>
  </si>
  <si>
    <t>Evidence Scope</t>
  </si>
  <si>
    <t>Evidence Scope List</t>
  </si>
  <si>
    <t>Aircraft Family</t>
  </si>
  <si>
    <t>Engine / Variant Combination</t>
  </si>
  <si>
    <t>Avionics / Configuration</t>
  </si>
  <si>
    <t>General Product Documentation</t>
  </si>
  <si>
    <t>FlightFactor 777 Ultimate Introduction Bulletin</t>
  </si>
  <si>
    <t>Primary developer manual covering 777 Ultimate model, simulation features, EFB, maintenance, failures, training, ACARS/CPDLC, and operational features.</t>
  </si>
  <si>
    <t>Performance and Flight Model - B777-200ER GE90-90B</t>
  </si>
  <si>
    <t>Performance and Flight Model - B777-300ER GE90-115BL</t>
  </si>
  <si>
    <t>Yes</t>
  </si>
  <si>
    <t>Developer performance and flight-model validation document for the B777-300ER GE90-115BL; includes validation methodology, flight-envelope testing, performance comparisons, and XP12-specific tuning.</t>
  </si>
  <si>
    <t>Developer performance and flight-model validation document for the B777-200ER GE90-90B; includes validation methodology, flight-envelope testing, performance comparisons, and XP12-specific tuning.</t>
  </si>
  <si>
    <t>Developer performance and flight-model validation document for the B777F GE90-110B1L; includes validation methodology, flight-envelope testing, performance comparisons, and XP12-specific tuning.</t>
  </si>
  <si>
    <t>Performance &amp; Flight Model – B777F GE90-110B1L</t>
  </si>
  <si>
    <t>FlightFactor 777 Systems Manual</t>
  </si>
  <si>
    <t>Detailed aircraft systems reference used as primary technical evidence for FSEI Systems Depth evaluation.</t>
  </si>
  <si>
    <t>FlightFactor 777 Cockpit Guide</t>
  </si>
  <si>
    <t>Detailed cockpit reference covering flight deck controls, displays, center pedestal, overhead panel, FMC controls, EICAS, navigation displays, and cockpit indications.</t>
  </si>
  <si>
    <t>FlightFactor 777 Automatic Interactive Procedures</t>
  </si>
  <si>
    <t>Developer documentation for automatic interactive crew procedures; covers Captain/First Officer interaction, procedure execution, monitoring, and closed-loop/open-loop procedural actions.</t>
  </si>
  <si>
    <t>FlightFactor 777 Remote Instrumentation Manual</t>
  </si>
  <si>
    <t>Developer documentation for network-accessible remote cockpit instrumentation, including left, right and center CDUs, both EFBs, and Captain/First Officer display units.</t>
  </si>
  <si>
    <t>Evaluation ID</t>
  </si>
  <si>
    <t>FSEI Evaluation Sources Database</t>
  </si>
  <si>
    <t>Evaluation Source ID</t>
  </si>
  <si>
    <t>Evidence Role</t>
  </si>
  <si>
    <t>Supporting</t>
  </si>
  <si>
    <t>General FlightFactor 777 product/manual documentation</t>
  </si>
  <si>
    <t>Primary</t>
  </si>
  <si>
    <t>Primary technical systems documentation</t>
  </si>
  <si>
    <t>Cockpit controls, displays, indications, and system interfaces</t>
  </si>
  <si>
    <t>Procedural implementation and crew-interaction evidence</t>
  </si>
  <si>
    <t>Evaluation Scope List</t>
  </si>
  <si>
    <t>Configuration</t>
  </si>
  <si>
    <t>Evaluation Sope</t>
  </si>
  <si>
    <t>FSEI Aircraft Configurations</t>
  </si>
  <si>
    <t>Configuration ID</t>
  </si>
  <si>
    <t>Configuration Name</t>
  </si>
  <si>
    <t>777-200ER Standard Configuration</t>
  </si>
  <si>
    <t>FSEI Avionics</t>
  </si>
  <si>
    <t>Avionics ID</t>
  </si>
  <si>
    <t>Manufacturer</t>
  </si>
  <si>
    <t>Avionics Type</t>
  </si>
  <si>
    <t>System / Model</t>
  </si>
  <si>
    <t>Version / Generation</t>
  </si>
  <si>
    <t>FSEI Configuration Avionics</t>
  </si>
  <si>
    <t>Configuration Avionics ID</t>
  </si>
  <si>
    <t>Avionics Role</t>
  </si>
  <si>
    <t>Avionics Type List</t>
  </si>
  <si>
    <t>FMS / FMC</t>
  </si>
  <si>
    <t>EFB</t>
  </si>
  <si>
    <t>PFD / ND</t>
  </si>
  <si>
    <t>Autopilot / Flight Director</t>
  </si>
  <si>
    <t>Weather Radar</t>
  </si>
  <si>
    <t>TCAS</t>
  </si>
  <si>
    <t>TAWS / EGPWS</t>
  </si>
  <si>
    <t>ACARS / CPDLC</t>
  </si>
  <si>
    <t>GPS / Navigation</t>
  </si>
  <si>
    <t>FlightFactor EFB</t>
  </si>
  <si>
    <t>Integrated electronic flight bag implementation for the FlightFactor 777.</t>
  </si>
  <si>
    <t>Primary EFB</t>
  </si>
  <si>
    <t>Avionics System</t>
  </si>
  <si>
    <t>Avionics Evaluation ID</t>
  </si>
  <si>
    <t xml:space="preserve">Configuration Avionics ID </t>
  </si>
  <si>
    <t xml:space="preserve">Avionics System </t>
  </si>
  <si>
    <t xml:space="preserve">Evaluation Date </t>
  </si>
  <si>
    <t>Fidelity Score</t>
  </si>
  <si>
    <t>FSEI Avionics Evaluations Database</t>
  </si>
  <si>
    <t>Functional Fidelity</t>
  </si>
  <si>
    <t>Operational / Procedural Fidelity</t>
  </si>
  <si>
    <t>Display &amp; Interface Fidelity</t>
  </si>
  <si>
    <t>System Logic &amp; Integration</t>
  </si>
  <si>
    <t>Navigation Data Handling &amp; Implementation</t>
  </si>
  <si>
    <t>Failures &amp; Abnormal Behavior</t>
  </si>
  <si>
    <t>Depth &amp; Edge-Case Fidelity</t>
  </si>
  <si>
    <t>FSEI Avionics Evaluation Sources DB</t>
  </si>
  <si>
    <t>Avionics Evaluation Source ID</t>
  </si>
  <si>
    <t>Evidence Role List</t>
  </si>
  <si>
    <t>Direct Testing</t>
  </si>
  <si>
    <t>Primary developer documentation supporting the documented functionality and capabilities of the FlightFactor 777 EFB.</t>
  </si>
  <si>
    <t>Supporting cockpit documentation for avionics displays, controls, indications, and system interfaces.</t>
  </si>
  <si>
    <t>Supporting evidence for procedural implementation, interactive procedures, checklists, and crew-interaction behavior.</t>
  </si>
  <si>
    <t>FlightFactor 777 EFB Direct Testing</t>
  </si>
  <si>
    <t>Hands-on XP12 evaluation of FlightFactor 777 EFB functionality, procedures, system integration, navigation behavior, failures, and edge-case behavior.</t>
  </si>
  <si>
    <t>Hands-on XP12 testing supporting the avionics fidelity score, including system interaction, failure behavior, and observed operational limitations.</t>
  </si>
  <si>
    <t>FSEI Manufacturer's Database</t>
  </si>
  <si>
    <t>Manufacturers ID</t>
  </si>
  <si>
    <t>Manfacturer</t>
  </si>
  <si>
    <t>Boeing</t>
  </si>
  <si>
    <t>Manufacturer ID</t>
  </si>
  <si>
    <t>SR20</t>
  </si>
  <si>
    <t>TorqueSim</t>
  </si>
  <si>
    <t>Cirrus Aircraft</t>
  </si>
  <si>
    <t>SR20  G3</t>
  </si>
  <si>
    <t>G3-generation Cirrus SR20 modeled by TorqueSim; evaluated in X-Plane 12. Equipped with Garmin Perspective avionics configuration.</t>
  </si>
  <si>
    <t>Teledyne Continental</t>
  </si>
  <si>
    <t>IO-360-ES</t>
  </si>
  <si>
    <t>SR20 G3 Perspective</t>
  </si>
  <si>
    <t>TorqueSim SR20 G3 configuration equipped with Garmin Perspective avionics; evaluated in X-Plane 12.</t>
  </si>
  <si>
    <t>Developer / Manufacturer</t>
  </si>
  <si>
    <t>FlightFactor / StepToSky</t>
  </si>
  <si>
    <t>Garmin</t>
  </si>
  <si>
    <t>Garmin Perspective</t>
  </si>
  <si>
    <t>Perspective (G3)</t>
  </si>
  <si>
    <t>Garmin Perspective integrated avionics suite installed in the TorqueSim SR20 G3 configuration; evaluated in X-Plane 12.</t>
  </si>
  <si>
    <t>Primary Intergrated Avionics Suite</t>
  </si>
  <si>
    <t>Primary Garmin Perspective avionics suite for the TorqueSim SR20 G3 configuration.</t>
  </si>
  <si>
    <t>Functional fidelity scored 24/25 and operational/procedural fidelity 19/20 pending verification of complete Garmin Perspective functionality and workflows. Display/interface fidelity scored 14/15 due to nonfunctional AM/FM radio softkeys. System logic/integration, navigation data handling, failures/abnormal behavior, and depth/edge-case fidelity demonstrated at full-score level through documentation and direct simulator testing.</t>
  </si>
  <si>
    <t>TorqueSim SR20 Airplane Information Manual</t>
  </si>
  <si>
    <t>TorqueSim SR20 Airplane Information Manual documenting aircraft systems, normal and emergency procedures, electrical architecture, avionics integration, engine, fuel system, and other modeled SR20 systems. Used as primary documentation supporting evaluation of the SR20 G3 configuration and Garmin Perspective avionics implementation.</t>
  </si>
  <si>
    <t>TorqueSim SR20 Garmin Perspective Direct Testing</t>
  </si>
  <si>
    <t>Direct hands-on evaluation of the TorqueSim SR20 G3 Garmin Perspective implementation in X-Plane 12. Testing included normal IFR operations, avionics workflows, electrical and circuit-breaker interactions, system annunciations, navigation behavior, abnormal conditions, RNAV approach operations, and observed in-flight navigation/heading degradation.</t>
  </si>
  <si>
    <t>Primary aircraft documentation supporting evaluation of Garmin Perspective avionics functionality, procedures, system integration, electrical behavior, annunciations, and abnormal operations in the TorqueSim SR20 G3.</t>
  </si>
  <si>
    <t>Direct hands-on testing supporting the Garmin Perspective evaluation, including IFR procedures, electrical and circuit-breaker interactions, annunciation behavior, navigation operation, abnormal navigation/heading behavior, and RNAV approach operations.</t>
  </si>
  <si>
    <t>Primary aircraft documentation supporting the SR20 G3 Systems Depth evaluation, including electrical architecture, aircraft systems, normal and emergency procedures, failure behavior, and modeled system interactions.</t>
  </si>
  <si>
    <t>Direct hands-on testing supporting the SR20 G3 Systems Depth evaluation, including electrical and circuit-breaker interactions, system annunciations, normal IFR operations, abnormal behavior, navigation/heading degradation, and RNAV approach operations.</t>
  </si>
  <si>
    <t>Diamond Aircraft</t>
  </si>
  <si>
    <t>DA50</t>
  </si>
  <si>
    <t>Aerobask</t>
  </si>
  <si>
    <t>DA50 RG</t>
  </si>
  <si>
    <t>Aerobask Diamond DA50 RG modeled for X-Plane 12.</t>
  </si>
  <si>
    <t>Piston</t>
  </si>
  <si>
    <t>Used in the Cirrus SR20</t>
  </si>
  <si>
    <t>Continental Aerospace Technologies</t>
  </si>
  <si>
    <t>CD-300</t>
  </si>
  <si>
    <t>Turbodiesel</t>
  </si>
  <si>
    <t>Continental CD-300, 300 hp, six-cylinder, liquid-cooled, turbocharged, FADEC-controlled aircraft diesel engine used in the Aerobask Diamond DA50 RG.</t>
  </si>
  <si>
    <t>DA50 RG G1000</t>
  </si>
  <si>
    <t>Aerobask Diamond DA50 RG configuration equipped with integrated Garmin G1000/X1000 avionics; evaluated in X-Plane 12.</t>
  </si>
  <si>
    <t>Garmin G1000 / X1000</t>
  </si>
  <si>
    <t>Integrated Garmin G1000-based avionics suite implemented using a customized Laminar Research X1000 system in the Aerobask Diamond DA50 RG; evaluated in X-Plane 12.</t>
  </si>
  <si>
    <t>Primary Garmin G1000/X1000 avionics suite for the Aerobask Diamond DA50 RG configuration.</t>
  </si>
  <si>
    <t>Aerobask Diamond DA50 RG Aircraft Flight Manual</t>
  </si>
  <si>
    <t>Aerobask Diamond DA50 RG Aircraft Flight Manual documenting aircraft specifications, systems, electrical architecture, avionics integration, engine operation, fuel system, landing gear, anti-ice/TKS, oxygen, and modeled aircraft functionality. Used as primary documentation supporting evaluation of the DA50 RG in X-Plane 12.</t>
  </si>
  <si>
    <t>Aerobask DA50 RG Direct Testing</t>
  </si>
  <si>
    <t>Direct hands-on evaluation of the Aerobask Diamond DA50 RG in X-Plane 12. Used to verify avionics functionality, aircraft systems, procedures, failures and abnormal behavior, system integration, and edge-case behavior.</t>
  </si>
  <si>
    <t>Primary Aerobask aircraft documentation supporting evaluation of the DA50 RG Garmin G1000/X1000 avionics implementation, functionality, integration, procedures, and modeled systems.</t>
  </si>
  <si>
    <t>Direct hands-on testing supporting evaluation of the DA50 RG Garmin G1000/X1000 avionics functionality, procedures, system integration, failures and abnormal behavior, and edge-case fidelity.</t>
  </si>
  <si>
    <t>Direct testing confirmed strong Garmin G1000/X1000 functional, operational, display/interface, navigation, failure, and aircraft-system integration fidelity. ILS RWY 11 at KCAE loaded and displayed the correct 112° final course; a repeat approach ultimately tracked the runway centerline correctly. Testing identified a significant autoflight limitation in selected-altitude capture: with 2,500 ft selected, the aircraft substantially overshot the commanded altitude before correcting. Breaker testing demonstrated functional MFD power isolation and multiple aircraft-system consequences, although some tested breakers produced no observable downstream avionics failure and MFD recovery after breaker reset was simplified. These findings resulted in deductions to System Logic &amp; Integration, Failures &amp; Abnormal Behavior, and Depth &amp; Edge-Case Fidelity. Independent pilot-reported engine-start procedural differences are treated as aircraft systems/procedural evidence and are excluded from this avionics score.</t>
  </si>
  <si>
    <t xml:space="preserve">Diamond DA50-RG Product Page </t>
  </si>
  <si>
    <t>https://store.x-plane.org/Diamond-DA50-RG_p_1576.html</t>
  </si>
  <si>
    <t>Product page makes substantial claims regarding aircraft fidelity and functionality. Direct testing confirmed several advertised features, including functional circuit breakers and detailed systems behavior, but also identified limitations and inconsistencies where observed behavior fell short of the published claims or expected system behavior.</t>
  </si>
  <si>
    <t>777 Flight Management System (FMS/FMC)</t>
  </si>
  <si>
    <t>Boeing 777 flight management system implemented in the FlightFactor 777v2. Includes flight planning, route management, performance initialization, navigation, VNAV/LNAV functions, and CDU-based pilot interaction; fidelity to be evaluated separately from the EFB.</t>
  </si>
  <si>
    <t>Primary Flight Management System</t>
  </si>
  <si>
    <t>Primary flight management and CDU-based navigation/performance system for the FlightFactor 777v2 configuration.</t>
  </si>
  <si>
    <t>FlightFactor 777v2 FMS/FMC Direct Testing</t>
  </si>
  <si>
    <t>Direct hands-on evaluation of the FlightFactor 777v2 FMS/FMC in X-Plane 12. Used to evaluate flight planning, route entry and modification, navigation database handling, waypoint sequencing, LNAV/VNAV behavior, performance functions, CDU interaction, procedures, abnormal behavior, and edge-case fidelity.</t>
  </si>
  <si>
    <t>FF 777 Introduction Bulletin</t>
  </si>
  <si>
    <t>FF 777Cockpit Guide</t>
  </si>
  <si>
    <t>FF777 Remote Instrumentation Manual</t>
  </si>
  <si>
    <t>FF 777 FMS/FMC Direct Testing</t>
  </si>
  <si>
    <t>777 Primary Flight &amp; Navigation Display System</t>
  </si>
  <si>
    <t>Boeing 777 captain and first-officer primary flight and navigation display system implemented in the FlightFactor 777v2. Includes duplicated PFD/ND presentation and associated flight, navigation, guidance, mode, and situational-awareness information. Evaluated separately from center multifunction/display functions, FMS/FMC, autoflight, and EFB systems.</t>
  </si>
  <si>
    <t>Multifunction Display</t>
  </si>
  <si>
    <t>777 Center Multifunction Display System</t>
  </si>
  <si>
    <t>Boeing 777 center multifunction/display system implemented in the FlightFactor 777v2. Supports communications management, ATC functions, ACARS/datalink, electronic checklist, and other center-display functions. Evaluated separately from the PFD/ND, FMS/FMC, autoflight, and EFB systems.</t>
  </si>
  <si>
    <t>777 Autoflight / Flight Director System</t>
  </si>
  <si>
    <t>Boeing 777 autoflight system implemented in the FlightFactor 777v2. Includes autopilot, flight director, autothrottle, LNAV/VNAV execution, lateral and vertical mode logic, mode annunciation, altitude and course capture, approach guidance, and associated autoflight functions.</t>
  </si>
  <si>
    <t>Primary Flight / Navigation Displays</t>
  </si>
  <si>
    <t>Center Multifunction / Communications Display</t>
  </si>
  <si>
    <t>Primary Autoflight System</t>
  </si>
  <si>
    <t>Captain and first-officer PFD/ND system for the FlightFactor 777v2.</t>
  </si>
  <si>
    <t>Center multifunction display functions for the FlightFactor 777v2, including communications, datalink and electronic checklist interfaces.</t>
  </si>
  <si>
    <t>Primary FlightFactor 777v2 autoflight implementation, including autopilot, flight director, autothrottle and lateral/vertical guidance execution.</t>
  </si>
  <si>
    <t>Airbus</t>
  </si>
  <si>
    <t>A321</t>
  </si>
  <si>
    <t>Toliss</t>
  </si>
  <si>
    <t>A321-200</t>
  </si>
  <si>
    <t>ToLiss Airbus A321-200 modeled for X-Plane 12; evaluated using a complete KCLT–KLAF flight.</t>
  </si>
  <si>
    <t>A321-200 Standard Configuration</t>
  </si>
  <si>
    <t>ToLiss A321-200 standard configuration evaluated in X-Plane 12 using a complete KCLT-KLAF flight.</t>
  </si>
  <si>
    <t>ToLiss A321 Direct Flight Evaluation</t>
  </si>
  <si>
    <t>Direct hands-on evaluation of the ToLiss A321-200 in X-Plane 12 using a complete KCLT–KLAF flight.</t>
  </si>
  <si>
    <t>Primary evidence from complete KCLT–KLAF flight evaluation of the ToLiss A321-200 in X-Plane 12.</t>
  </si>
  <si>
    <t>ToLiss A321 Developer Documentation</t>
  </si>
  <si>
    <t>Official ToLiss developer documentation supporting A321 systems, features, and operational procedures.</t>
  </si>
  <si>
    <t>Official ToLiss documentation supporting systems depth, failure simulation, FMS/navigation, and procedural fidelity observed during the A321 evaluation.</t>
  </si>
  <si>
    <t>Airbus A321 Flight Management and Guidance System (FMGS)</t>
  </si>
  <si>
    <t>Airbus A321 FMGS implemented in the ToLiss A321, supporting flight-plan management, performance initialization, managed/selected guidance, SID/STAR procedures, wind data uplink, and navigation functions.</t>
  </si>
  <si>
    <t>ToLiss</t>
  </si>
  <si>
    <t>Airbus A321 Autopilot / Flight Director System</t>
  </si>
  <si>
    <t>ToLiss implementation of the Airbus A321 autoflight and flight director system, supporting managed and selected guidance, autopilot operation, flight director commands, and approach/landing guidance.</t>
  </si>
  <si>
    <t>Airbus A321 Primary Flight / Navigation Display System</t>
  </si>
  <si>
    <t>ToLiss implementation of the Airbus A321 PFD and ND system, providing primary flight parameters, flight guidance, navigation routing, managed/selected modes, and approach/navigation information.</t>
  </si>
  <si>
    <t>Airbus A321 ECAM Engine Warning / System Display System</t>
  </si>
  <si>
    <t>ToLiss implementation of the Airbus A321 ECAM EWD/SD system, providing engine and warning information, aircraft system status, and system synoptic displays.</t>
  </si>
  <si>
    <t>Airbus A321 ACARS / CPDLC System</t>
  </si>
  <si>
    <t>ToLiss implementation of Airbus A321 ACARS/CPDLC functions, supporting digital ATC communications, AOC messaging, flight-plan data exchange, and operational information services.</t>
  </si>
  <si>
    <t>ToLiss A321 Electronic Flight Bag (EFB)</t>
  </si>
  <si>
    <t>Integrated ToLiss A321 EFB supporting SimBrief OFP integration, weight and balance, takeoff and landing performance, ground services, aircraft configuration, fault scenarios, checklists, and AviTab integration.</t>
  </si>
  <si>
    <t>Airbus A321 Weather Radar System</t>
  </si>
  <si>
    <t>ToLiss implementation of the Airbus A321 weather radar system, providing weather radar information displayed on the Navigation Display with pilot-controlled weather image intensity.</t>
  </si>
  <si>
    <t>Airbus A321 Traffic Alert and Collision Avoidance System (TCAS)</t>
  </si>
  <si>
    <t>ToLiss implementation of the Airbus A321 TCAS, providing traffic surveillance, traffic advisories, resolution advisories, and traffic information displayed on the Navigation Display.</t>
  </si>
  <si>
    <t>Airbus A321 Terrain Awareness and Warning System (TAWS/EGPWS)</t>
  </si>
  <si>
    <t>ToLiss implementation of the Airbus A321 TAWS/EGPWS, providing terrain awareness, terrain warning functions, and terrain information displayed on the Navigation Display.</t>
  </si>
  <si>
    <t>Airbus A321 GPS / Navigation System</t>
  </si>
  <si>
    <t>ToLiss implementation of the Airbus A321 navigation system, supporting GPS-based aircraft positioning, flight-plan navigation, waypoint sequencing, radio navigation, and managed lateral navigation through the FMGS.</t>
  </si>
  <si>
    <t>Primary Airbus A321 flight management system implemented in the ToLiss A321, supporting flight planning, performance management, navigation, and managed flight guidance.</t>
  </si>
  <si>
    <t>Primary Flight / Flight Navigation Systems</t>
  </si>
  <si>
    <t>Primary ToLiss A321 autoflight and flight guidance system, supporting managed and selected guidance, autopilot operation, flight director commands, and approach/landing guidance.</t>
  </si>
  <si>
    <t>Primary Flight &amp; Navigation Display System</t>
  </si>
  <si>
    <t>Primary ToLiss A321 flight and navigation display system, providing flight parameters, flight guidance, navigation routing, managed/selected modes, and approach/navigation information.</t>
  </si>
  <si>
    <t>Primary Aircraft Systems Monitoring &amp; Alerting System</t>
  </si>
  <si>
    <t>Primary ToLiss A321 ECAM system providing engine and warning information, aircraft systems monitoring, status information, and system synoptic displays.</t>
  </si>
  <si>
    <t>Digital Communications &amp; Data Link System</t>
  </si>
  <si>
    <t>Primary ToLiss A321 data link system supporting ACARS/CPDLC communications, AOC messaging, ATC data exchange, and operational information services.</t>
  </si>
  <si>
    <t>Electronic Flight Bag &amp; Operational Management System</t>
  </si>
  <si>
    <t>Weather Detection and Display System</t>
  </si>
  <si>
    <t>ToLiss A321 weather radar implementation providing weather information and pilot-controlled weather radar display on the Navigation Display.</t>
  </si>
  <si>
    <t>Traffic Surveillance &amp; Collision Avoidance System</t>
  </si>
  <si>
    <t>ToLiss A321 TCAS implementation providing traffic surveillance, traffic advisories, resolution advisories, and traffic information displayed on the Navigation Display.</t>
  </si>
  <si>
    <t>Terrain Awareness &amp; Warning System</t>
  </si>
  <si>
    <t>ToLiss A321 TAWS/EGPWS implementation providing terrain awareness, terrain warning functions, and terrain information displayed on the Navigation Display.</t>
  </si>
  <si>
    <t>Primary Navigation &amp; Position System</t>
  </si>
  <si>
    <t>ToLiss A321 navigation implementation supporting GPS-based positioning, flight-plan navigation, waypoint sequencing, radio navigation, and managed lateral navigation through the FMGS.</t>
  </si>
  <si>
    <t>FlightFactor 777v2 FMS/FMC evaluated through direct simulator testing and developer documentation. Demonstrated high-fidelity flight planning, performance initialization, SID/STAR and runway modification, wind and forecast uplinks, navigation-data handling, and integration with aircraft systems and the EFB throughout normal flight operations.</t>
  </si>
  <si>
    <t>FlightFactor 777v2 PFD/ND evaluated through direct simulator testing and developer documentation. Demonstrated high-fidelity primary flight and navigation displays, flight-mode annunciations, route and waypoint presentation, managed navigation information, approach guidance, and integration with the FMS and autoflight systems throughout normal flight operations.</t>
  </si>
  <si>
    <t>FlightFactor 777v2 Center Multifunction Display evaluated through direct simulator testing and developer documentation. Demonstrated detailed aircraft systems monitoring and display integration, including secondary flight-display/reversion capability. Integrated with the aircraft’s extensive failure and abnormal-condition architecture, providing system status and operational information across normal and abnormal operations.</t>
  </si>
  <si>
    <t>FlightFactor 777v2 Autoflight / Flight Director System evaluated through direct simulator testing and developer documentation. Demonstrated high-fidelity managed and selected flight guidance, flight-director commands, autopilot operation, FMS integration, mode annunciation and approach/landing guidance, including integrated autoflight behavior throughout normal flight operations.</t>
  </si>
  <si>
    <t>FlightFactor 777v2 EFB evaluated through extensive direct simulator testing and developer documentation. Demonstrated deep integration with flight planning, SimBrief and Navigraph, weight and balance, aircraft loading and boarding, takeoff performance, FMC data, ground and purser services, aircraft initialization, walkaround procedures, communications, failure/maintenance functions, and integrated moving-map capability. The EFB functions as a central operational interface throughout the aircraft workflow rather than as a standalone utility.</t>
  </si>
  <si>
    <t>ToLiss A321 FMGS evaluated through direct simulator testing and official ToLiss documentation. Demonstrated high-fidelity flight-plan management, performance initialization, SID/STAR and runway procedures, managed and selected guidance, wind and performance data handling, navigation functions, and integration with the aircraft’s autoflight, display, and EFB systems throughout a complete KCLT–KLAF flight.</t>
  </si>
  <si>
    <t>ToLiss A321 Autopilot / Flight Director System evaluated through direct simulator testing and official ToLiss documentation. Demonstrated high-fidelity managed and selected guidance, flight director commands, autopilot operation, mode annunciation, FMGS integration, and approach/landing guidance, including dual-autopilot CAT III operation during the complete KCLT–KLAF evaluation flight.</t>
  </si>
  <si>
    <t>ToLiss A321 PFD/ND evaluated through direct simulator testing and official ToLiss documentation. Demonstrated high-fidelity primary flight and navigation presentation, flight-mode annunciations, managed and selected guidance, route and waypoint display, weather/terrain information, approach guidance, and integration with the FMGS and autoflight systems throughout the complete KCLT–KLAF evaluation flight.</t>
  </si>
  <si>
    <t>ToLiss A321 ECAM evaluated through direct simulator testing and official ToLiss documentation. Demonstrated high-fidelity engine and warning presentation, aircraft systems monitoring, system synoptic displays, status information, alerting logic, and integration with aircraft systems and abnormal-condition handling throughout normal flight operations.</t>
  </si>
  <si>
    <t>ToLiss A321 ACARS/CPDLC system evaluated through direct simulator testing and official ToLiss documentation. Demonstrated integrated digital communications supporting CPDLC, AOC messaging, ATC data exchange, flight-plan and operational information services, with integration into the aircraft’s FMGS and communications environment throughout normal flight operations.</t>
  </si>
  <si>
    <t>ToLiss A321 EFB evaluated through direct simulator testing and official ToLiss documentation. Demonstrated deep integration with SimBrief OFP data, weight and balance, takeoff and landing performance, ground services, aircraft configuration, checklists, Navigraph/AviTab, and ISCS functions. Failure functionality includes more than 200 injectable failures, MTBF-based random failures, simultaneous fault combinations, failure propagation, and configurable fault scenarios accessible through the integrated ISCS environment. ToLiss_AirbusA321_SimulationManual.pdfPDF</t>
  </si>
  <si>
    <t>ToLiss A321 Weather Radar evaluated through direct simulator testing and official documentation. During departure and climb, the aircraft encountered a significant weather formation extending to approximately 27,000 feet; the navigation display showed a solid red weather-radar return while penetrating the storm area, with the aircraft experiencing substantial difficulty maintaining course in the associated conditions. Radar returns cleared after exiting the weather, providing direct operational evidence of weather detection, display presentation, and aircraft-system integration.</t>
  </si>
  <si>
    <t>ToLiss A321 TAWS/EGPWS evaluated through direct simulator operation and official documentation. Demonstrated integrated terrain awareness and terrain presentation using aircraft position and navigation data, with terrain information incorporated into the flight-deck display environment. Full terrain-warning, abnormal, and edge-case scenarios were not deliberately triggered during the evaluation flight and remain candidates for additional direct testing.</t>
  </si>
  <si>
    <t>ToLiss A321 GPS / Navigation System evaluated through direct simulator testing and official documentation. Demonstrated high-fidelity aircraft positioning, route and waypoint sequencing, SID/STAR and approach procedure handling, navigation-data processing, and integration with the FMGS, navigation display, and autoflight systems throughout the complete KCLT–KLAF evaluation flight. Normal navigation functionality was extensively demonstrated; degraded GPS, navigation-sensor failures, and unusual navigation edge cases remain candidates for additional direct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</si>
</sst>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4"/>
      <color theme="1"/>
      <name val="Calibri"/>
      <family val="2"/>
      <scheme val="minor"/>
    </font>
    <font>
      <b/>
      <sz val="14"/>
      <color theme="1"/>
      <name val="Calibri"/>
      <family val="2"/>
      <scheme val="minor"/>
    </font>
    <font>
      <sz val="11"/>
      <color theme="1"/>
      <name val="Calibri"/>
      <family val="2"/>
      <scheme val="minor"/>
    </font>
    <font>
      <sz val="10"/>
      <color theme="1"/>
      <name val="Arial Unicode MS"/>
      <family val="2"/>
    </font>
    <font>
      <sz val="14"/>
      <color theme="1"/>
      <name val="Arial Unicode MS"/>
      <family val="2"/>
    </font>
    <font>
      <b/>
      <sz val="11"/>
      <color theme="1"/>
      <name val="Calibri"/>
      <family val="2"/>
      <scheme val="minor"/>
    </font>
    <font>
      <sz val="12"/>
      <color theme="1"/>
      <name val="Arial Unicode MS"/>
      <family val="2"/>
    </font>
    <font>
      <sz val="8"/>
      <name val="Calibri"/>
      <family val="2"/>
      <scheme val="minor"/>
    </font>
    <font>
      <sz val="16"/>
      <color theme="1"/>
      <name val="Arial Unicode MS"/>
      <family val="2"/>
    </font>
    <font>
      <sz val="16"/>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9" fontId="9" fillId="0" borderId="0" applyFont="0" applyFill="0" applyBorder="0" applyAlignment="0" applyProtection="0"/>
    <xf numFmtId="0" fontId="17" fillId="0" borderId="0" applyNumberFormat="0" applyFill="0" applyBorder="0" applyAlignment="0" applyProtection="0"/>
  </cellStyleXfs>
  <cellXfs count="36">
    <xf numFmtId="0" fontId="0" fillId="0" borderId="0" xfId="0"/>
    <xf numFmtId="0" fontId="7" fillId="0" borderId="0" xfId="0" applyFont="1"/>
    <xf numFmtId="0" fontId="8" fillId="0" borderId="0" xfId="0" applyFont="1"/>
    <xf numFmtId="0" fontId="7" fillId="0" borderId="0" xfId="1" applyNumberFormat="1" applyFont="1"/>
    <xf numFmtId="0" fontId="8" fillId="0" borderId="0" xfId="0" applyFont="1">
      <extLst>
        <ext xmlns:xfpb="http://schemas.microsoft.com/office/spreadsheetml/2022/featurepropertybag" uri="{C7286773-470A-42A8-94C5-96B5CB345126}">
          <xfpb:xfComplement i="0"/>
        </ext>
      </extLst>
    </xf>
    <xf numFmtId="0" fontId="7" fillId="0" borderId="0" xfId="0" applyFont="1">
      <extLst>
        <ext xmlns:xfpb="http://schemas.microsoft.com/office/spreadsheetml/2022/featurepropertybag" uri="{C7286773-470A-42A8-94C5-96B5CB345126}">
          <xfpb:xfComplement i="0"/>
        </ext>
      </extLst>
    </xf>
    <xf numFmtId="0" fontId="10" fillId="0" borderId="0" xfId="0" applyFont="1"/>
    <xf numFmtId="0" fontId="11" fillId="0" borderId="0" xfId="0" applyFont="1"/>
    <xf numFmtId="0" fontId="12" fillId="0" borderId="0" xfId="0" applyFont="1"/>
    <xf numFmtId="0" fontId="13" fillId="0" borderId="0" xfId="0" applyFont="1"/>
    <xf numFmtId="14" fontId="7" fillId="0" borderId="0" xfId="0" applyNumberFormat="1" applyFont="1"/>
    <xf numFmtId="0" fontId="15" fillId="0" borderId="0" xfId="0" applyFont="1"/>
    <xf numFmtId="0" fontId="16" fillId="0" borderId="0" xfId="0" applyFont="1"/>
    <xf numFmtId="0" fontId="6" fillId="0" borderId="0" xfId="0" applyFont="1"/>
    <xf numFmtId="14" fontId="0" fillId="0" borderId="0" xfId="0" applyNumberFormat="1"/>
    <xf numFmtId="0" fontId="5" fillId="0" borderId="0" xfId="0" applyFont="1"/>
    <xf numFmtId="0" fontId="7" fillId="0" borderId="0" xfId="0" applyFont="1" applyAlignment="1">
      <alignment horizontal="left"/>
    </xf>
    <xf numFmtId="14" fontId="5" fillId="0" borderId="0" xfId="0" applyNumberFormat="1" applyFont="1"/>
    <xf numFmtId="0" fontId="10" fillId="0" borderId="0" xfId="0" applyFont="1" applyAlignment="1">
      <alignment horizontal="left"/>
    </xf>
    <xf numFmtId="0" fontId="0" fillId="0" borderId="0" xfId="0" applyAlignment="1">
      <alignment horizontal="center"/>
    </xf>
    <xf numFmtId="0" fontId="5" fillId="0" borderId="0" xfId="0" applyFont="1" applyAlignment="1">
      <alignment horizontal="left"/>
    </xf>
    <xf numFmtId="0" fontId="4" fillId="0" borderId="0" xfId="0" applyFont="1"/>
    <xf numFmtId="0" fontId="6" fillId="0" borderId="0" xfId="0" applyFont="1" applyAlignment="1">
      <alignment horizontal="center"/>
    </xf>
    <xf numFmtId="0" fontId="4" fillId="0" borderId="0" xfId="0" applyFont="1" applyAlignment="1">
      <alignment horizontal="center"/>
    </xf>
    <xf numFmtId="0" fontId="3" fillId="0" borderId="0" xfId="0" applyFont="1"/>
    <xf numFmtId="0" fontId="3" fillId="0" borderId="0" xfId="0" applyFont="1" applyAlignment="1">
      <alignment horizontal="left"/>
    </xf>
    <xf numFmtId="14" fontId="3" fillId="0" borderId="0" xfId="0" applyNumberFormat="1" applyFont="1"/>
    <xf numFmtId="0" fontId="3" fillId="0" borderId="0" xfId="0" applyFont="1" applyAlignment="1">
      <alignment horizontal="center"/>
    </xf>
    <xf numFmtId="0" fontId="17" fillId="0" borderId="0" xfId="2"/>
    <xf numFmtId="0" fontId="2" fillId="0" borderId="0" xfId="0" applyFont="1"/>
    <xf numFmtId="0" fontId="2" fillId="0" borderId="0" xfId="0" applyFont="1" applyAlignment="1">
      <alignment horizontal="center"/>
    </xf>
    <xf numFmtId="0" fontId="1" fillId="0" borderId="0" xfId="0" applyFont="1"/>
    <xf numFmtId="0" fontId="1" fillId="0" borderId="0" xfId="0" applyFont="1" applyAlignment="1">
      <alignment horizontal="left"/>
    </xf>
    <xf numFmtId="14" fontId="1" fillId="0" borderId="0" xfId="0" applyNumberFormat="1" applyFont="1"/>
    <xf numFmtId="0" fontId="1" fillId="0" borderId="0" xfId="0" applyFont="1" applyAlignment="1">
      <alignment horizontal="center"/>
    </xf>
    <xf numFmtId="0" fontId="0" fillId="0" borderId="0" xfId="0" applyAlignment="1">
      <alignment wrapText="1"/>
    </xf>
  </cellXfs>
  <cellStyles count="3">
    <cellStyle name="Hyperlink" xfId="2" builtinId="8"/>
    <cellStyle name="Normal" xfId="0" builtinId="0"/>
    <cellStyle name="Percent" xfId="1" builtinId="5"/>
  </cellStyles>
  <dxfs count="126">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numFmt numFmtId="19" formatCode="m/d/yy"/>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numFmt numFmtId="19" formatCode="m/d/yy"/>
    </dxf>
    <dxf>
      <font>
        <strike val="0"/>
        <outline val="0"/>
        <shadow val="0"/>
        <u val="none"/>
        <vertAlign val="baseline"/>
        <sz val="12"/>
        <color theme="1"/>
        <name val="Calibri"/>
        <family val="2"/>
        <scheme val="minor"/>
      </font>
    </dxf>
    <dxf>
      <font>
        <strike val="0"/>
        <outline val="0"/>
        <shadow val="0"/>
        <u val="none"/>
        <vertAlign val="baseline"/>
        <sz val="12"/>
        <color theme="1"/>
        <name val="Arial Unicode MS"/>
        <family val="2"/>
        <scheme val="none"/>
      </font>
    </dxf>
    <dxf>
      <font>
        <strike val="0"/>
        <outline val="0"/>
        <shadow val="0"/>
        <u val="none"/>
        <vertAlign val="baseline"/>
        <sz val="12"/>
        <color theme="1"/>
        <name val="Calibri"/>
        <family val="2"/>
        <scheme val="minor"/>
      </font>
    </dxf>
    <dxf>
      <font>
        <strike val="0"/>
        <outline val="0"/>
        <shadow val="0"/>
        <u val="none"/>
        <vertAlign val="baseline"/>
        <sz val="12"/>
        <color theme="1"/>
        <name val="Arial Unicode MS"/>
        <family val="2"/>
        <scheme val="none"/>
      </font>
    </dxf>
    <dxf>
      <font>
        <b val="0"/>
        <i val="0"/>
        <strike val="0"/>
        <condense val="0"/>
        <extend val="0"/>
        <outline val="0"/>
        <shadow val="0"/>
        <u val="none"/>
        <vertAlign val="baseline"/>
        <sz val="12"/>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b val="0"/>
        <i val="0"/>
        <strike val="0"/>
        <condense val="0"/>
        <extend val="0"/>
        <outline val="0"/>
        <shadow val="0"/>
        <u val="none"/>
        <vertAlign val="baseline"/>
        <sz val="10"/>
        <color theme="1"/>
        <name val="Arial Unicode MS"/>
        <family val="2"/>
        <scheme val="none"/>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2"/>
        <color theme="1"/>
        <name val="Arial Unicode MS"/>
        <family val="2"/>
        <scheme val="none"/>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2"/>
        <color theme="1"/>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numFmt numFmtId="0" formatCode="General"/>
    </dxf>
    <dxf>
      <font>
        <b val="0"/>
        <i val="0"/>
        <strike val="0"/>
        <condense val="0"/>
        <extend val="0"/>
        <outline val="0"/>
        <shadow val="0"/>
        <u val="none"/>
        <vertAlign val="baseline"/>
        <sz val="12"/>
        <color theme="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Arial Unicode MS"/>
        <family val="2"/>
        <scheme val="none"/>
      </font>
    </dxf>
    <dxf>
      <font>
        <b val="0"/>
        <i val="0"/>
        <strike val="0"/>
        <condense val="0"/>
        <extend val="0"/>
        <outline val="0"/>
        <shadow val="0"/>
        <u val="none"/>
        <vertAlign val="baseline"/>
        <sz val="14"/>
        <color theme="1"/>
        <name val="Calibri"/>
        <family val="2"/>
        <scheme val="minor"/>
      </font>
      <numFmt numFmtId="19" formatCode="m/d/yy"/>
    </dxf>
    <dxf>
      <font>
        <strike val="0"/>
        <outline val="0"/>
        <shadow val="0"/>
        <u val="none"/>
        <vertAlign val="baseline"/>
        <sz val="12"/>
        <color theme="1"/>
        <name val="Arial Unicode MS"/>
        <family val="2"/>
        <scheme val="none"/>
      </font>
      <numFmt numFmtId="0" formatCode="General"/>
    </dxf>
    <dxf>
      <font>
        <b val="0"/>
        <i val="0"/>
        <strike val="0"/>
        <condense val="0"/>
        <extend val="0"/>
        <outline val="0"/>
        <shadow val="0"/>
        <u val="none"/>
        <vertAlign val="baseline"/>
        <sz val="14"/>
        <color theme="1"/>
        <name val="Calibri"/>
        <family val="2"/>
        <scheme val="minor"/>
      </font>
      <numFmt numFmtId="0" formatCode="General"/>
    </dxf>
    <dxf>
      <font>
        <b val="0"/>
        <i val="0"/>
        <strike val="0"/>
        <condense val="0"/>
        <extend val="0"/>
        <outline val="0"/>
        <shadow val="0"/>
        <u val="none"/>
        <vertAlign val="baseline"/>
        <sz val="14"/>
        <color theme="1"/>
        <name val="Calibri"/>
        <family val="2"/>
        <scheme val="minor"/>
      </font>
      <numFmt numFmtId="0" formatCode="General"/>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numFmt numFmtId="0" formatCode="General"/>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alignment horizontal="left" vertical="bottom" textRotation="0" wrapText="0" indent="0" justifyLastLine="0" shrinkToFit="0" readingOrder="0"/>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font>
    </dxf>
    <dxf>
      <font>
        <strike val="0"/>
        <outline val="0"/>
        <shadow val="0"/>
        <u val="none"/>
        <vertAlign val="baseline"/>
        <sz val="14"/>
        <color theme="1"/>
      </font>
    </dxf>
    <dxf>
      <font>
        <strike val="0"/>
        <outline val="0"/>
        <shadow val="0"/>
        <u val="none"/>
        <vertAlign val="baseline"/>
        <sz val="14"/>
        <color theme="1"/>
      </font>
      <numFmt numFmtId="0" formatCode="General"/>
    </dxf>
    <dxf>
      <font>
        <strike val="0"/>
        <outline val="0"/>
        <shadow val="0"/>
        <u val="none"/>
        <vertAlign val="baseline"/>
        <sz val="14"/>
        <color theme="1"/>
      </font>
    </dxf>
    <dxf>
      <font>
        <strike val="0"/>
        <outline val="0"/>
        <shadow val="0"/>
        <u val="none"/>
        <vertAlign val="baseline"/>
        <sz val="14"/>
        <color theme="1"/>
      </font>
    </dxf>
    <dxf>
      <font>
        <strike val="0"/>
        <outline val="0"/>
        <shadow val="0"/>
        <u val="none"/>
        <vertAlign val="baseline"/>
        <sz val="14"/>
        <color theme="1"/>
      </font>
    </dxf>
    <dxf>
      <font>
        <strike val="0"/>
        <outline val="0"/>
        <shadow val="0"/>
        <u val="none"/>
        <vertAlign val="baseline"/>
        <sz val="14"/>
        <color theme="1"/>
        <family val="2"/>
      </font>
    </dxf>
    <dxf>
      <font>
        <b val="0"/>
        <i val="0"/>
        <strike val="0"/>
        <condense val="0"/>
        <extend val="0"/>
        <outline val="0"/>
        <shadow val="0"/>
        <u val="none"/>
        <vertAlign val="baseline"/>
        <sz val="14"/>
        <color theme="1"/>
        <name val="Arial Unicode MS"/>
        <family val="2"/>
        <scheme val="none"/>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font>
    </dxf>
    <dxf>
      <font>
        <strike val="0"/>
        <outline val="0"/>
        <shadow val="0"/>
        <u val="none"/>
        <vertAlign val="baseline"/>
        <sz val="14"/>
        <color theme="1"/>
      </font>
    </dxf>
    <dxf>
      <font>
        <strike val="0"/>
        <outline val="0"/>
        <shadow val="0"/>
        <u val="none"/>
        <vertAlign val="baseline"/>
        <sz val="14"/>
        <color theme="1"/>
        <name val="Arial Unicode MS"/>
        <family val="2"/>
        <scheme val="none"/>
      </font>
    </dxf>
    <dxf>
      <font>
        <strike val="0"/>
        <outline val="0"/>
        <shadow val="0"/>
        <u val="none"/>
        <vertAlign val="baseline"/>
        <sz val="14"/>
        <color theme="1"/>
      </font>
      <alignment horizontal="left" vertical="bottom" textRotation="0" wrapText="0" indent="0" justifyLastLine="0" shrinkToFit="0" readingOrder="0"/>
    </dxf>
    <dxf>
      <font>
        <strike val="0"/>
        <outline val="0"/>
        <shadow val="0"/>
        <u val="none"/>
        <vertAlign val="baseline"/>
        <sz val="14"/>
        <color theme="1"/>
      </font>
    </dxf>
    <dxf>
      <font>
        <strike val="0"/>
        <outline val="0"/>
        <shadow val="0"/>
        <u val="none"/>
        <vertAlign val="baseline"/>
        <sz val="14"/>
        <color theme="1"/>
        <name val="Calibri"/>
        <family val="2"/>
        <scheme val="minor"/>
      </font>
    </dxf>
    <dxf>
      <font>
        <strike val="0"/>
        <outline val="0"/>
        <shadow val="0"/>
        <u val="none"/>
        <vertAlign val="baseline"/>
        <sz val="14"/>
        <color theme="1"/>
      </font>
    </dxf>
    <dxf>
      <font>
        <strike val="0"/>
        <outline val="0"/>
        <shadow val="0"/>
        <u val="none"/>
        <vertAlign val="baseline"/>
        <sz val="16"/>
        <color theme="1"/>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numFmt numFmtId="0" formatCode="General"/>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font>
        <b val="0"/>
        <i val="0"/>
        <strike val="0"/>
        <condense val="0"/>
        <extend val="0"/>
        <outline val="0"/>
        <shadow val="0"/>
        <u val="none"/>
        <vertAlign val="baseline"/>
        <sz val="10"/>
        <color theme="1"/>
        <name val="Arial Unicode MS"/>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microsoft.com/office/2022/11/relationships/FeaturePropertyBag" Target="featurePropertyBag/featurePropertyBag.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FSEI Overall Simulator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'!$B$4</c:f>
              <c:strCache>
                <c:ptCount val="1"/>
                <c:pt idx="0">
                  <c:v>Score</c:v>
                </c:pt>
              </c:strCache>
            </c:strRef>
          </c:tx>
          <c:spPr>
            <a:solidFill>
              <a:schemeClr val="accent1"/>
            </a:solidFill>
            <a:ln>
              <a:noFill/>
            </a:ln>
            <a:effectLst/>
          </c:spPr>
          <c:invertIfNegative val="0"/>
          <c:cat>
            <c:strRef>
              <c:f>'Dashboard '!$A$5:$A$7</c:f>
              <c:strCache>
                <c:ptCount val="3"/>
                <c:pt idx="0">
                  <c:v>MSFS 2024 </c:v>
                </c:pt>
                <c:pt idx="1">
                  <c:v>XPlane 12</c:v>
                </c:pt>
                <c:pt idx="2">
                  <c:v>P3D</c:v>
                </c:pt>
              </c:strCache>
            </c:strRef>
          </c:cat>
          <c:val>
            <c:numRef>
              <c:f>'Dashboard '!$B$5:$B$7</c:f>
              <c:numCache>
                <c:formatCode>General</c:formatCode>
                <c:ptCount val="3"/>
                <c:pt idx="0">
                  <c:v>92.55</c:v>
                </c:pt>
                <c:pt idx="1">
                  <c:v>92</c:v>
                </c:pt>
                <c:pt idx="2">
                  <c:v>66.350000000000009</c:v>
                </c:pt>
              </c:numCache>
            </c:numRef>
          </c:val>
          <c:extLst>
            <c:ext xmlns:c16="http://schemas.microsoft.com/office/drawing/2014/chart" uri="{C3380CC4-5D6E-409C-BE32-E72D297353CC}">
              <c16:uniqueId val="{00000000-0138-B143-88D6-8E1F38C0D982}"/>
            </c:ext>
          </c:extLst>
        </c:ser>
        <c:dLbls>
          <c:showLegendKey val="0"/>
          <c:showVal val="0"/>
          <c:showCatName val="0"/>
          <c:showSerName val="0"/>
          <c:showPercent val="0"/>
          <c:showBubbleSize val="0"/>
        </c:dLbls>
        <c:gapWidth val="219"/>
        <c:overlap val="-27"/>
        <c:axId val="2105036736"/>
        <c:axId val="2105034048"/>
      </c:barChart>
      <c:catAx>
        <c:axId val="210503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034048"/>
        <c:crosses val="autoZero"/>
        <c:auto val="1"/>
        <c:lblAlgn val="ctr"/>
        <c:lblOffset val="100"/>
        <c:noMultiLvlLbl val="0"/>
      </c:catAx>
      <c:valAx>
        <c:axId val="2105034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036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50800</xdr:colOff>
      <xdr:row>3</xdr:row>
      <xdr:rowOff>12700</xdr:rowOff>
    </xdr:from>
    <xdr:to>
      <xdr:col>11</xdr:col>
      <xdr:colOff>584200</xdr:colOff>
      <xdr:row>14</xdr:row>
      <xdr:rowOff>101600</xdr:rowOff>
    </xdr:to>
    <xdr:graphicFrame macro="">
      <xdr:nvGraphicFramePr>
        <xdr:cNvPr id="2" name="Chart 1">
          <a:extLst>
            <a:ext uri="{FF2B5EF4-FFF2-40B4-BE49-F238E27FC236}">
              <a16:creationId xmlns:a16="http://schemas.microsoft.com/office/drawing/2014/main" id="{14A50549-4F11-C5AA-E867-4A092637B4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AE1B3D4-D00B-224E-ADA9-6812ECA37ACE}" name="tblManufacturers" displayName="tblManufacturers" ref="A3:B7" totalsRowShown="0" headerRowDxfId="114" dataDxfId="113">
  <autoFilter ref="A3:B7" xr:uid="{3AE1B3D4-D00B-224E-ADA9-6812ECA37ACE}"/>
  <tableColumns count="2">
    <tableColumn id="1" xr3:uid="{68EDBF10-6062-9E48-BBA7-9DF719EC8919}" name="Manufacturers ID" dataDxfId="112"/>
    <tableColumn id="2" xr3:uid="{E24BEBDF-49CC-F244-AADE-5E70FA97BB64}" name="Manfacturer" dataDxfId="111"/>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F43501-CD9F-B44B-A5D1-9D851BC153E9}" name="tblAircraft" displayName="tblAircraft" ref="A3:S7" totalsRowShown="0" headerRowDxfId="110" dataDxfId="109">
  <autoFilter ref="A3:S7" xr:uid="{29F43501-CD9F-B44B-A5D1-9D851BC153E9}"/>
  <tableColumns count="19">
    <tableColumn id="16" xr3:uid="{4159BB87-D686-954D-A88B-D4B4FC063647}" name="Aircraft ID" dataDxfId="108"/>
    <tableColumn id="19" xr3:uid="{31A98D46-8645-3E47-A491-098D389FB963}" name="Manufacturer ID" dataDxfId="107"/>
    <tableColumn id="18" xr3:uid="{D8C620DC-9E63-2E47-90FC-0631C99DD68D}" name="Variant ID" dataDxfId="106"/>
    <tableColumn id="1" xr3:uid="{C88ECEE8-7952-FC42-BF42-B491BCF2B032}" name="Aircraft" dataDxfId="105"/>
    <tableColumn id="2" xr3:uid="{0C8FCC8C-2C6A-3244-92BE-CC5E97E74C4A}" name="Simulator" dataDxfId="104"/>
    <tableColumn id="3" xr3:uid="{30EDD00F-BF35-2E41-AC5D-DEBC1C0B6195}" name="Developer" dataDxfId="103"/>
    <tableColumn id="4" xr3:uid="{2A5668BE-FA09-6644-AE1F-F5D89D40772A}" name="Aircraft Type" dataDxfId="102"/>
    <tableColumn id="5" xr3:uid="{6A0F49AA-768A-6C40-97E8-1F024B8185B8}" name="Systems Depth" dataDxfId="101">
      <calculatedColumnFormula>_xlfn.XLOOKUP(tblAircraft[[#This Row],[Aircraft ID]],tblSystemsDepth[Aircraft ID],tblSystemsDepth[Systems Depth Score],"")</calculatedColumnFormula>
    </tableColumn>
    <tableColumn id="6" xr3:uid="{3D0A9F48-F300-E64F-B143-A311E788A8AE}" name="Flight Model Quality" dataDxfId="100"/>
    <tableColumn id="7" xr3:uid="{A3939B06-A303-6347-920E-ED99075575A7}" name="Update Frequency" dataDxfId="99"/>
    <tableColumn id="8" xr3:uid="{B253B3DC-A893-4744-8ED4-F4AB018E5100}" name="User Rating" dataDxfId="98"/>
    <tableColumn id="9" xr3:uid="{7A914067-B537-6C41-B3D9-772A9645DAFE}" name="Release Date" dataDxfId="97"/>
    <tableColumn id="10" xr3:uid="{029A08CC-A646-2D4F-A2EF-FB9B440D00C0}" name="Status" dataDxfId="96"/>
    <tableColumn id="11" xr3:uid="{34D44A71-E5CB-F244-9994-5A7D7A5278DE}" name="Source" dataDxfId="95"/>
    <tableColumn id="12" xr3:uid="{DC4FA8B6-1BC0-E94D-90D3-B57FA7D7C052}" name="Last Updated" dataDxfId="94"/>
    <tableColumn id="13" xr3:uid="{CDA9DB88-4020-9C43-8A90-D5E0CBE43D53}" name="Update Method" dataDxfId="93"/>
    <tableColumn id="17" xr3:uid="{808DC6CE-955B-8F4A-B9BC-9C8369B451D6}" name="Update Tool" dataDxfId="92"/>
    <tableColumn id="14" xr3:uid="{364258FB-0EBA-5545-A4B2-ED1255EBD6FF}" name="Updater Generation" dataDxfId="91"/>
    <tableColumn id="15" xr3:uid="{DF72689F-59E7-8B4C-9A6F-1B2921ED86E2}" name="Notes" dataDxfId="90"/>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75FEAF-B89C-8246-9656-64270FCF13ED}" name="tblAircraftVariants" displayName="tblAircraftVariants" ref="A3:F9" totalsRowShown="0" headerRowDxfId="89" dataDxfId="88">
  <autoFilter ref="A3:F9" xr:uid="{4D75FEAF-B89C-8246-9656-64270FCF13ED}"/>
  <tableColumns count="6">
    <tableColumn id="1" xr3:uid="{13FE2D4A-EF65-AD49-A6F6-5ADEB0960999}" name="Variant ID" dataDxfId="87"/>
    <tableColumn id="2" xr3:uid="{5D3B5CE7-B17D-9F41-9F9C-37E621E2406E}" name="Aircraft ID" dataDxfId="86"/>
    <tableColumn id="3" xr3:uid="{CE1CB680-53C6-1F47-A244-299208BF6D6D}" name="Aircraft" dataDxfId="85">
      <calculatedColumnFormula>_xlfn.XLOOKUP(B4,tblAircraft[Aircraft ID],tblAircraft[Aircraft],"")</calculatedColumnFormula>
    </tableColumn>
    <tableColumn id="4" xr3:uid="{5F624EC0-01EB-214A-BE82-F1FEBD7B2F54}" name="Simulator" dataDxfId="84">
      <calculatedColumnFormula>_xlfn.XLOOKUP(B4,tblAircraft[Aircraft ID],tblAircraft[Simulator],"")</calculatedColumnFormula>
    </tableColumn>
    <tableColumn id="5" xr3:uid="{4811740A-0E07-DE48-AAA7-9F0CBA8131A1}" name="Variant" dataDxfId="83"/>
    <tableColumn id="6" xr3:uid="{089C1491-BCB4-DC43-A644-5AFC43CBC6F2}" name="Notes" dataDxfId="82"/>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21B205D-37CE-124D-9AC1-3CA5DC199627}" name="tblEngines" displayName="tblEngines" ref="A3:E8" totalsRowShown="0" headerRowDxfId="81" dataDxfId="80">
  <autoFilter ref="A3:E8" xr:uid="{421B205D-37CE-124D-9AC1-3CA5DC199627}"/>
  <tableColumns count="5">
    <tableColumn id="1" xr3:uid="{9CF07036-AD8A-BF4E-803F-4402A83CC0BC}" name="Engine_ID" dataDxfId="79"/>
    <tableColumn id="2" xr3:uid="{70E505C8-AA92-2449-A9C7-167F8F23ACFB}" name="Manufacturer" dataDxfId="78"/>
    <tableColumn id="3" xr3:uid="{408A27B7-FDD3-8C44-9CAE-461218946810}" name="Engine Model" dataDxfId="77"/>
    <tableColumn id="4" xr3:uid="{37E623C3-3A6D-4E46-942B-9BF3046677D8}" name="Engine Type" dataDxfId="76"/>
    <tableColumn id="5" xr3:uid="{84948E00-9B85-6C4E-9920-C6429A63FE03}" name="Notes" dataDxfId="75"/>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4031BC5-15F9-6B4D-AE4C-32C4037123FA}" name="tblVariantEngines" displayName="tblVariantEngines" ref="A3:F8" totalsRowShown="0" headerRowDxfId="74" dataDxfId="73">
  <autoFilter ref="A3:F8" xr:uid="{94031BC5-15F9-6B4D-AE4C-32C4037123FA}"/>
  <tableColumns count="6">
    <tableColumn id="1" xr3:uid="{5E295C5D-9DB5-844F-9323-F1CD80762DBC}" name="Variant Engine ID" dataDxfId="72"/>
    <tableColumn id="2" xr3:uid="{B64C8FE6-DF8B-8045-AD7E-4A9F97CA730B}" name="Variant ID" dataDxfId="71"/>
    <tableColumn id="3" xr3:uid="{47F4F640-4D5A-B946-BA6C-B96953A79904}" name="Engine ID " dataDxfId="70"/>
    <tableColumn id="4" xr3:uid="{8CAC22F5-34A9-BF4F-AE9B-45FA9850CB1E}" name="Variant" dataDxfId="69">
      <calculatedColumnFormula>_xlfn.XLOOKUP(tblVariantEngines[[#This Row],[Variant ID]],tblAircraftVariants[Variant ID],tblAircraftVariants[Variant],"")</calculatedColumnFormula>
    </tableColumn>
    <tableColumn id="5" xr3:uid="{96283967-4785-A24B-8AC6-E3A49A46EA78}" name="Engine Model " dataDxfId="68">
      <calculatedColumnFormula>_xlfn.XLOOKUP(C4,Engines_DB!$A$4:$A$100,Engines_DB!$C$4:$C$100,"")</calculatedColumnFormula>
    </tableColumn>
    <tableColumn id="6" xr3:uid="{4A40909E-D524-AF42-9D6D-515F3F3963D5}" name="Notes" dataDxfId="67"/>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301F975-F2F2-5D43-AAAF-94C3D5A2D8E0}" name="tblAircraftConfigurations" displayName="tblAircraftConfigurations" ref="A3:G7" totalsRowShown="0" headerRowDxfId="66" dataDxfId="65">
  <autoFilter ref="A3:G7" xr:uid="{0301F975-F2F2-5D43-AAAF-94C3D5A2D8E0}"/>
  <tableColumns count="7">
    <tableColumn id="1" xr3:uid="{596C6310-2F74-E84B-B088-7EE294BD9ECA}" name="Configuration ID" dataDxfId="64"/>
    <tableColumn id="2" xr3:uid="{F377D330-30E0-9642-AA9D-B2BF8E05CA67}" name="Variant ID" dataDxfId="63"/>
    <tableColumn id="3" xr3:uid="{EEA61D3A-7D3A-8D4E-B8D1-1CECA34F0770}" name="Aircraft ID" dataDxfId="62">
      <calculatedColumnFormula>IF(tblAircraftConfigurations[[#This Row],[Variant ID]]="","",_xlfn.XLOOKUP(tblAircraftConfigurations[[#This Row],[Variant ID]],tblAircraftVariants[Variant ID],tblAircraftVariants[Aircraft ID],""))</calculatedColumnFormula>
    </tableColumn>
    <tableColumn id="4" xr3:uid="{C6BCBE01-EA68-A448-818C-6E9AF2022FE5}" name="Aircraft" dataDxfId="61">
      <calculatedColumnFormula>IF(tblAircraftConfigurations[[#This Row],[Aircraft ID]]="","",_xlfn.XLOOKUP(tblAircraftConfigurations[[#This Row],[Aircraft ID]],tblAircraft[Aircraft ID],tblAircraft[Aircraft],""))</calculatedColumnFormula>
    </tableColumn>
    <tableColumn id="5" xr3:uid="{0204D856-C495-7044-94A7-8151A77DD052}" name="Simulator" dataDxfId="60">
      <calculatedColumnFormula>IF(tblAircraftConfigurations[[#This Row],[Aircraft ID]]="","",_xlfn.XLOOKUP(tblAircraftConfigurations[[#This Row],[Aircraft ID]],tblAircraft[Aircraft ID],tblAircraft[Simulator],""))</calculatedColumnFormula>
    </tableColumn>
    <tableColumn id="6" xr3:uid="{42C00E7C-CF6E-F540-AA4E-802164AB0482}" name="Configuration Name" dataDxfId="59"/>
    <tableColumn id="7" xr3:uid="{FBF2B8E3-DB8D-5641-81C1-6D74707867D0}" name="Notes" dataDxfId="58"/>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B5D24B-73F5-1641-866F-955C5B4232DF}" name="tblSystemsDepth" displayName="tblSystemsDepth" ref="A3:N7" totalsRowShown="0" headerRowDxfId="57" dataDxfId="56">
  <autoFilter ref="A3:N7" xr:uid="{63B5D24B-73F5-1641-866F-955C5B4232DF}"/>
  <tableColumns count="14">
    <tableColumn id="12" xr3:uid="{71838FF8-8EA3-E145-839C-E770AD0A1825}" name="Evaluation ID" dataDxfId="55"/>
    <tableColumn id="13" xr3:uid="{830E8BF7-B2BB-AA48-8DD3-7A53BCE99354}" name="Evaluation Sope" dataDxfId="54"/>
    <tableColumn id="1" xr3:uid="{1CDFBD3B-AC1F-8E40-AD5A-7D32EB0461D8}" name="Aircraft ID" dataDxfId="53"/>
    <tableColumn id="14" xr3:uid="{89E6CB87-B930-4D4B-9CFF-8F51F5B3D448}" name="Variant ID" dataDxfId="52"/>
    <tableColumn id="15" xr3:uid="{1846A538-2482-4D4F-B0CD-625030C3A885}" name="Variant" dataDxfId="51">
      <calculatedColumnFormula>IF(tblSystemsDepth[[#This Row],[Variant ID]]="","",_xlfn.XLOOKUP(tblSystemsDepth[[#This Row],[Variant ID]],tblAircraftVariants[Variant ID],tblAircraftVariants[Variant],""))</calculatedColumnFormula>
    </tableColumn>
    <tableColumn id="2" xr3:uid="{EFF66939-2B24-8942-AC75-55E8E3512C09}" name="Aircraft" dataDxfId="50">
      <calculatedColumnFormula>_xlfn.XLOOKUP(tblSystemsDepth[[#This Row],[Aircraft ID]],tblAircraft[Aircraft ID],tblAircraft[Aircraft],"")</calculatedColumnFormula>
    </tableColumn>
    <tableColumn id="3" xr3:uid="{1A3DB43D-D852-2F42-B2E3-BCD34D59544E}" name="Simulator" dataDxfId="49">
      <calculatedColumnFormula>_xlfn.XLOOKUP(tblSystemsDepth[[#This Row],[Aircraft ID]],tblAircraft[Aircraft ID],tblAircraft[Simulator],"")</calculatedColumnFormula>
    </tableColumn>
    <tableColumn id="4" xr3:uid="{FD4E0C00-EB23-D643-ACDC-C68FE92C1F14}" name="Electrical Systems" dataDxfId="48"/>
    <tableColumn id="5" xr3:uid="{D0D57CB5-2B06-BA41-87E1-9C741B94C9BA}" name="Hydraulic / Pneumatic Systems" dataDxfId="47"/>
    <tableColumn id="6" xr3:uid="{104E682F-6DC8-854D-A154-5FBA7DEBB578}" name="FMS / Navigation Depth" dataDxfId="46"/>
    <tableColumn id="7" xr3:uid="{AE16E340-1AC8-6C48-A766-6D329DEFEBE0}" name="Failures / Abnormal Procedures" dataDxfId="45"/>
    <tableColumn id="8" xr3:uid="{64436D13-11E2-3743-8A88-349F63F3B07A}" name="Procedural Fidelity" dataDxfId="44"/>
    <tableColumn id="9" xr3:uid="{FF6DA7CD-FDAF-2547-A6E9-9BF3BA532FE3}" name="Systems Depth Score" dataDxfId="43">
      <calculatedColumnFormula>IF(COUNT(tblSystemsDepth[[#This Row],[Electrical Systems]]:tblSystemsDepth[[#This Row],[Procedural Fidelity]])=0,"",ROUND(SUM(tblSystemsDepth[[#This Row],[Electrical Systems]]:tblSystemsDepth[[#This Row],[Procedural Fidelity]])/(COUNT(tblSystemsDepth[[#This Row],[Electrical Systems]]:tblSystemsDepth[[#This Row],[Procedural Fidelity]])*20)*100,0))</calculatedColumnFormula>
    </tableColumn>
    <tableColumn id="11" xr3:uid="{24257476-02E0-CC46-A27E-C70E64D998A8}" name="Date Verified" dataDxfId="42">
      <calculatedColumnFormula>TODAY()</calculatedColumnFormula>
    </tableColumn>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C709437-1283-944D-BA35-6A0090DBFC2A}" name="tblEvaluationSources" displayName="tblEvaluationSources" ref="A3:G13" totalsRowShown="0" headerRowDxfId="41" dataDxfId="40">
  <autoFilter ref="A3:G13" xr:uid="{2C709437-1283-944D-BA35-6A0090DBFC2A}"/>
  <tableColumns count="7">
    <tableColumn id="1" xr3:uid="{373931B1-12C6-EA45-9488-3CC9CC170B8A}" name="Evaluation Source ID" dataDxfId="39"/>
    <tableColumn id="2" xr3:uid="{7A4336C9-AD77-5749-AD56-6746F090A352}" name="Evaluation ID" dataDxfId="38"/>
    <tableColumn id="3" xr3:uid="{CC4C0828-0EFF-E94E-84AA-E2590D186F3E}" name="Source ID" dataDxfId="37"/>
    <tableColumn id="6" xr3:uid="{19934B5E-6937-ED40-8637-7B3C0A0FCD04}" name="Aircraft" dataDxfId="36">
      <calculatedColumnFormula>_xlfn.XLOOKUP(tblEvaluationSources[[#This Row],[Evaluation ID]],tblSystemsDepth[Evaluation ID],tblSystemsDepth[Aircraft],"")</calculatedColumnFormula>
    </tableColumn>
    <tableColumn id="7" xr3:uid="{8B58A9D1-5D0A-5A43-9F0D-FD63879B5104}" name="Source Name" dataDxfId="35">
      <calculatedColumnFormula>_xlfn.XLOOKUP(tblEvaluationSources[[#This Row],[Source ID]],tblSources[Source ID],tblSources[Source Name],"")</calculatedColumnFormula>
    </tableColumn>
    <tableColumn id="4" xr3:uid="{C96A00CF-D76A-8D4D-937F-6484B2249F72}" name="Evidence Role" dataDxfId="34"/>
    <tableColumn id="5" xr3:uid="{60EE9860-EE6C-5845-9129-4E5C6D8DA919}" name="Notes" dataDxfId="33"/>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6DE734F-5104-7649-A8A0-8325D3E9D528}" name="tblAvionics" displayName="tblAvionics" ref="A3:F20" totalsRowShown="0" headerRowDxfId="32" dataDxfId="31">
  <autoFilter ref="A3:F20" xr:uid="{76DE734F-5104-7649-A8A0-8325D3E9D528}"/>
  <tableColumns count="6">
    <tableColumn id="1" xr3:uid="{8B02509B-77BE-A244-8E95-67E9875FD8A4}" name="Avionics ID" dataDxfId="30"/>
    <tableColumn id="2" xr3:uid="{FAD56923-8BBD-E349-A02D-D480703FE180}" name="Developer / Manufacturer" dataDxfId="29"/>
    <tableColumn id="3" xr3:uid="{702DD557-8925-8F4C-9C15-32A33EAA4453}" name="Avionics Type" dataDxfId="28"/>
    <tableColumn id="4" xr3:uid="{FFA2D378-D7FA-7040-99E5-90F161F2D109}" name="System / Model" dataDxfId="27"/>
    <tableColumn id="5" xr3:uid="{60CDEF54-08D6-714B-95D6-A1B24C928431}" name="Version / Generation" dataDxfId="26"/>
    <tableColumn id="6" xr3:uid="{43E29A70-C46E-A54D-A76F-34E730126823}" name="Notes" dataDxfId="25"/>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B8535B2-545D-B646-8144-39856DB386E9}" name="tblConfigurationAvionics" displayName="tblConfigurationAvionics" ref="A3:G20" totalsRowShown="0" headerRowDxfId="24" dataDxfId="23">
  <autoFilter ref="A3:G20" xr:uid="{2B8535B2-545D-B646-8144-39856DB386E9}"/>
  <tableColumns count="7">
    <tableColumn id="1" xr3:uid="{72F6FEBC-05DA-4640-913D-5D4FDE46F951}" name="Configuration Avionics ID" dataDxfId="22"/>
    <tableColumn id="2" xr3:uid="{DC1B7654-CC28-F54E-8CEA-6E265526895E}" name="Configuration ID" dataDxfId="21"/>
    <tableColumn id="3" xr3:uid="{2523EDBE-122F-244A-AC1A-C7C86771C3C1}" name="Avionics ID" dataDxfId="20"/>
    <tableColumn id="8" xr3:uid="{57CA651E-454A-DB43-88C0-D22559B8941A}" name="Configuration Name" dataDxfId="19">
      <calculatedColumnFormula>_xlfn.XLOOKUP(tblConfigurationAvionics[[#This Row],[Configuration ID]],tblAircraftConfigurations[Configuration ID],tblAircraftConfigurations[Configuration Name],"")</calculatedColumnFormula>
    </tableColumn>
    <tableColumn id="6" xr3:uid="{A24184C6-26A0-114A-80FB-7AD0F2F7F0EE}" name="Avionics System">
      <calculatedColumnFormula>_xlfn.XLOOKUP(tblConfigurationAvionics[[#This Row],[Avionics ID]],tblAvionics[Avionics ID],tblAvionics[System / Model],"")</calculatedColumnFormula>
    </tableColumn>
    <tableColumn id="7" xr3:uid="{8BD4B34D-0E4F-8B47-B72A-DB35A08E1C15}" name="Avionics Role" dataDxfId="18"/>
    <tableColumn id="5" xr3:uid="{64A5A1E5-236C-CD43-9BBC-D30E2E797368}" name="Notes" dataDxfId="17"/>
  </tableColumns>
  <tableStyleInfo name="TableStyleMedium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43DC97-0181-E149-BD77-C60F4FFD7C37}" name="tblAvionicsEvaluations" displayName="tblAvionicsEvaluations" ref="A3:P20" totalsRowShown="0" headerRowDxfId="125">
  <autoFilter ref="A3:P20" xr:uid="{A343DC97-0181-E149-BD77-C60F4FFD7C37}"/>
  <tableColumns count="16">
    <tableColumn id="1" xr3:uid="{8FBED1AD-D88E-5947-A7A4-12DE42FF5BFE}" name="Avionics Evaluation ID"/>
    <tableColumn id="2" xr3:uid="{38912A35-499A-C44F-AFE7-2949E9CC98C4}" name="Configuration Avionics ID "/>
    <tableColumn id="3" xr3:uid="{BC4C7428-0016-464A-A3C7-23A6AC827189}" name="Configuration ID">
      <calculatedColumnFormula>_xlfn.XLOOKUP(B4,Configuration_Avionics!$A$4:$A$100,Configuration_Avionics!$B$4:$B$100,"")</calculatedColumnFormula>
    </tableColumn>
    <tableColumn id="4" xr3:uid="{F0CAEB6E-F820-B144-998B-31651BE7C61E}" name="Avionics ID">
      <calculatedColumnFormula>_xlfn.XLOOKUP(B4,Configuration_Avionics!$A$4:$A$100,Configuration_Avionics!$C$4:$C$100,"")</calculatedColumnFormula>
    </tableColumn>
    <tableColumn id="5" xr3:uid="{A09C8E0A-CCA0-FD4C-9E63-DCCFC4B7A25E}" name="Aircraft" dataDxfId="124">
      <calculatedColumnFormula>_xlfn.XLOOKUP(C4,Aircraft_Configurations!$A$4:$A$100,Aircraft_Configurations!$D$4:$D$100,"")</calculatedColumnFormula>
    </tableColumn>
    <tableColumn id="6" xr3:uid="{B11A28DE-0D67-3149-8AF1-A8CEA9045300}" name="Avionics System ">
      <calculatedColumnFormula>_xlfn.XLOOKUP(D4,Avionics_DB!$A$4:$A$102,Avionics_DB!$D$4:$D$102,"")</calculatedColumnFormula>
    </tableColumn>
    <tableColumn id="7" xr3:uid="{509DF4ED-5CC4-0C4B-8144-F4F70E3B518C}" name="Evaluation Date "/>
    <tableColumn id="10" xr3:uid="{5EC875F0-7D6F-9545-BE59-9B29524A46C5}" name="Functional Fidelity" dataDxfId="123"/>
    <tableColumn id="11" xr3:uid="{8DD2FF07-0C2A-E54D-A54F-87D97B63A9FF}" name="Operational / Procedural Fidelity" dataDxfId="122"/>
    <tableColumn id="12" xr3:uid="{D69480CC-DA01-D942-B5F0-8BEC1BDE1F44}" name="Display &amp; Interface Fidelity" dataDxfId="121"/>
    <tableColumn id="13" xr3:uid="{3F3F6C11-F816-804C-91A2-2B403EAAD4BE}" name="System Logic &amp; Integration" dataDxfId="120"/>
    <tableColumn id="14" xr3:uid="{28B631A1-62B6-3047-9034-1E8D890A7689}" name="Navigation Data Handling &amp; Implementation" dataDxfId="119"/>
    <tableColumn id="15" xr3:uid="{213E0A02-04A3-FA43-A249-204073BCFBA2}" name="Failures &amp; Abnormal Behavior" dataDxfId="118"/>
    <tableColumn id="16" xr3:uid="{ADB26855-09C2-7543-BB77-916C4F8BBA9F}" name="Depth &amp; Edge-Case Fidelity" dataDxfId="117"/>
    <tableColumn id="8" xr3:uid="{5F09423E-F6A9-844B-95B0-7103B19643D1}" name="Fidelity Score" dataDxfId="116">
      <calculatedColumnFormula>IF(COUNT(H4:N20)=0,"",ROUND(SUM(H4:N4)/(IF(H4&lt;&gt;"",25,0)+IF(I4&lt;&gt;"",20,0)+IF(J4&lt;&gt;"",15,0)+IF(K4&lt;&gt;"",20,0)+IF(L4&lt;&gt;"",8,0)+IF(M4&lt;&gt;"",7,0)+IF(N4&lt;&gt;"",5,0))*100,0))</calculatedColumnFormula>
    </tableColumn>
    <tableColumn id="9" xr3:uid="{2B3B11DB-BB8B-A34F-B0EA-0BB744A434B3}" name="Notes" dataDxfId="115"/>
  </tableColumns>
  <tableStyleInfo name="TableStyleMedium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C50C5A9-2C5B-8343-8439-12531C81D16A}" name="tblAvionicsEvaluationSources" displayName="tblAvionicsEvaluationSources" ref="A3:G15" totalsRowShown="0" headerRowDxfId="16">
  <autoFilter ref="A3:G15" xr:uid="{8C50C5A9-2C5B-8343-8439-12531C81D16A}"/>
  <tableColumns count="7">
    <tableColumn id="1" xr3:uid="{4324B45A-60DA-C949-8426-EC5975B68452}" name="Avionics Evaluation Source ID"/>
    <tableColumn id="2" xr3:uid="{FB8B1A56-0A7D-3F42-8BAA-B6C2E3E3BAD8}" name="Avionics Evaluation ID"/>
    <tableColumn id="3" xr3:uid="{B986E91F-848F-3C46-8EDF-E2909FFA0D26}" name="Source ID"/>
    <tableColumn id="4" xr3:uid="{33CF2063-C77B-5F4F-AC5A-DA1DD1A85F72}" name="Aircraft">
      <calculatedColumnFormula>_xlfn.XLOOKUP(B4,Avionics_Evaluations!$A$4:$A$100,Avionics_Evaluations!$E$4:$E$100,"")</calculatedColumnFormula>
    </tableColumn>
    <tableColumn id="5" xr3:uid="{D0FB5C57-5D19-7F4A-8DC8-4A07A16AE94F}" name="Avionics System">
      <calculatedColumnFormula>_xlfn.XLOOKUP(B4,Avionics_Evaluations!$A$4:$A$100,Avionics_Evaluations!$F$4:$F$100,"")</calculatedColumnFormula>
    </tableColumn>
    <tableColumn id="6" xr3:uid="{CB370FBD-8E44-3849-B453-06B5E615E283}" name="Evidence Role"/>
    <tableColumn id="7" xr3:uid="{1E949D9C-C59B-254F-9475-0FC6B7F77ECA}" name="Notes"/>
  </tableColumns>
  <tableStyleInfo name="TableStyleMedium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599F6C-5ACD-8541-B49F-65461897A4D2}" name="tblSources" displayName="tblSources" ref="A3:N21" totalsRowShown="0" headerRowDxfId="15" dataDxfId="14">
  <autoFilter ref="A3:N21" xr:uid="{16599F6C-5ACD-8541-B49F-65461897A4D2}"/>
  <tableColumns count="14">
    <tableColumn id="1" xr3:uid="{57395D4B-7D02-FF45-A4B9-27F1D47064EC}" name="Source ID" dataDxfId="13"/>
    <tableColumn id="2" xr3:uid="{326E8E84-323F-254E-8D41-F5BBA241BE95}" name="Aircraft ID" dataDxfId="12"/>
    <tableColumn id="4" xr3:uid="{C05EF523-F7BD-FF4F-B652-86D05C0DA15C}" name="Variant ID" dataDxfId="11"/>
    <tableColumn id="11" xr3:uid="{7B014AC4-D0EB-D04E-99F6-D4F87F486AAE}" name="Variant" dataDxfId="10">
      <calculatedColumnFormula>IF(tblSources[[#This Row],[Variant ID]]="","",_xlfn.XLOOKUP(tblSources[[#This Row],[Variant ID]],tblAircraftVariants[Variant ID],tblAircraftVariants[Variant],""))</calculatedColumnFormula>
    </tableColumn>
    <tableColumn id="14" xr3:uid="{8B28D6FE-B428-F745-808D-E5912BC520E2}" name="Evidence Scope" dataDxfId="9"/>
    <tableColumn id="12" xr3:uid="{82992551-182A-3E4A-86FB-B7BB0001832C}" name="Aircraft" dataDxfId="8">
      <calculatedColumnFormula>_xlfn.XLOOKUP(tblSources[[#This Row],[Aircraft ID]],tblAircraft[Aircraft ID],tblAircraft[Aircraft],"")</calculatedColumnFormula>
    </tableColumn>
    <tableColumn id="13" xr3:uid="{0C34BBAC-6A7B-B244-9450-5BA46933B3EA}" name="Simulator" dataDxfId="7">
      <calculatedColumnFormula>_xlfn.XLOOKUP(tblSources[[#This Row],[Aircraft ID]],tblAircraft[Aircraft ID],tblAircraft[Simulator],"")</calculatedColumnFormula>
    </tableColumn>
    <tableColumn id="3" xr3:uid="{E2500407-807B-B942-9DED-0714DE4B2FE1}" name="Source Type" dataDxfId="6"/>
    <tableColumn id="10" xr3:uid="{2631E2AD-159A-CD4C-9DB6-8C0BF0995881}" name="Source Name" dataDxfId="5"/>
    <tableColumn id="5" xr3:uid="{FA3D63DC-0C2F-6A4C-A15E-BA4E0BD234D4}" name="Source URL" dataDxfId="4"/>
    <tableColumn id="6" xr3:uid="{0B01A120-48DD-6B45-AB42-AF7F71075B36}" name="Date Assessed" dataDxfId="3">
      <calculatedColumnFormula>TODAY()</calculatedColumnFormula>
    </tableColumn>
    <tableColumn id="7" xr3:uid="{644763EE-4255-EF44-B94A-20C30CBF3E08}" name="Notes" dataDxfId="2"/>
    <tableColumn id="8" xr3:uid="{6996E54E-E270-A94D-9024-E4EAA1B7914D}" name="Date Verified" dataDxfId="1">
      <calculatedColumnFormula>TODAY()</calculatedColumnFormula>
    </tableColumn>
    <tableColumn id="9" xr3:uid="{AA4450E5-2E56-AB43-A629-E6859D75123D}" name="Active Source" dataDxfId="0"/>
  </tableColumns>
  <tableStyleInfo name="TableStyleMedium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hyperlink" Target="https://store.x-plane.org/Diamond-DA50-RG_p_1576.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CD9DB-6443-ED49-BF25-95BC2C547635}">
  <dimension ref="A1:C7"/>
  <sheetViews>
    <sheetView zoomScaleNormal="100" zoomScaleSheetLayoutView="100" workbookViewId="0">
      <selection activeCell="K9" sqref="K9"/>
    </sheetView>
  </sheetViews>
  <sheetFormatPr baseColWidth="10" defaultColWidth="8.83203125" defaultRowHeight="19" x14ac:dyDescent="0.25"/>
  <cols>
    <col min="1" max="1" width="19.1640625" style="1" customWidth="1"/>
    <col min="2" max="2" width="19.6640625" style="1" customWidth="1"/>
    <col min="3" max="3" width="15.83203125" style="1" customWidth="1"/>
    <col min="4" max="16384" width="8.83203125" style="1"/>
  </cols>
  <sheetData>
    <row r="1" spans="1:3" x14ac:dyDescent="0.25">
      <c r="A1" s="1" t="s">
        <v>0</v>
      </c>
    </row>
    <row r="3" spans="1:3" x14ac:dyDescent="0.25">
      <c r="A3" s="1" t="s">
        <v>1</v>
      </c>
    </row>
    <row r="4" spans="1:3" s="2" customFormat="1" x14ac:dyDescent="0.25">
      <c r="A4" s="4" t="s">
        <v>2</v>
      </c>
      <c r="B4" s="4" t="s">
        <v>3</v>
      </c>
      <c r="C4" s="2" t="s">
        <v>25</v>
      </c>
    </row>
    <row r="5" spans="1:3" x14ac:dyDescent="0.25">
      <c r="A5" s="5" t="s">
        <v>4</v>
      </c>
      <c r="B5" s="5">
        <f>Scoring_engine!J4</f>
        <v>92.55</v>
      </c>
      <c r="C5" s="1">
        <f>_xlfn.RANK.EQ(B5,$B$5:$B$7,0)</f>
        <v>1</v>
      </c>
    </row>
    <row r="6" spans="1:3" x14ac:dyDescent="0.25">
      <c r="A6" s="5" t="s">
        <v>5</v>
      </c>
      <c r="B6" s="5">
        <f>Scoring_engine!J5</f>
        <v>92</v>
      </c>
      <c r="C6" s="1">
        <f t="shared" ref="C6:C7" si="0">_xlfn.RANK.EQ(B6,$B$5:$B$7,0)</f>
        <v>2</v>
      </c>
    </row>
    <row r="7" spans="1:3" x14ac:dyDescent="0.25">
      <c r="A7" s="5" t="s">
        <v>6</v>
      </c>
      <c r="B7" s="5">
        <f>Scoring_engine!J6</f>
        <v>66.350000000000009</v>
      </c>
      <c r="C7" s="1">
        <f t="shared" si="0"/>
        <v>3</v>
      </c>
    </row>
  </sheetData>
  <autoFilter ref="A5:A7" xr:uid="{389CD9DB-6443-ED49-BF25-95BC2C547635}"/>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03820-4260-4745-8B85-717E7F127C1F}">
  <dimension ref="A1"/>
  <sheetViews>
    <sheetView workbookViewId="0"/>
  </sheetViews>
  <sheetFormatPr baseColWidth="10"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AD335-10BA-C846-98C4-1938C854F1A8}">
  <dimension ref="A1:B7"/>
  <sheetViews>
    <sheetView workbookViewId="0">
      <selection activeCell="C7" sqref="C7"/>
    </sheetView>
  </sheetViews>
  <sheetFormatPr baseColWidth="10" defaultColWidth="20.5" defaultRowHeight="19" x14ac:dyDescent="0.25"/>
  <cols>
    <col min="1" max="16384" width="20.5" style="1"/>
  </cols>
  <sheetData>
    <row r="1" spans="1:2" x14ac:dyDescent="0.25">
      <c r="A1" s="1" t="s">
        <v>203</v>
      </c>
    </row>
    <row r="3" spans="1:2" x14ac:dyDescent="0.25">
      <c r="A3" s="1" t="s">
        <v>204</v>
      </c>
      <c r="B3" s="1" t="s">
        <v>205</v>
      </c>
    </row>
    <row r="4" spans="1:2" x14ac:dyDescent="0.25">
      <c r="A4" s="1">
        <v>1</v>
      </c>
      <c r="B4" s="1" t="s">
        <v>206</v>
      </c>
    </row>
    <row r="5" spans="1:2" x14ac:dyDescent="0.25">
      <c r="A5" s="1">
        <v>2</v>
      </c>
      <c r="B5" s="1" t="s">
        <v>210</v>
      </c>
    </row>
    <row r="6" spans="1:2" x14ac:dyDescent="0.25">
      <c r="A6" s="1">
        <v>3</v>
      </c>
      <c r="B6" s="1" t="s">
        <v>234</v>
      </c>
    </row>
    <row r="7" spans="1:2" x14ac:dyDescent="0.25">
      <c r="A7" s="1">
        <v>4</v>
      </c>
      <c r="B7" s="1" t="s">
        <v>283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1E6A8-1504-F44C-AE18-D77F8340F7A2}">
  <dimension ref="A1"/>
  <sheetViews>
    <sheetView workbookViewId="0"/>
  </sheetViews>
  <sheetFormatPr baseColWidth="10" defaultRowHeight="1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D47DB-F0ED-5143-9877-B84C28B38C0A}">
  <dimension ref="A1:S7"/>
  <sheetViews>
    <sheetView topLeftCell="D1" zoomScaleNormal="100" zoomScaleSheetLayoutView="100" workbookViewId="0">
      <selection activeCell="D11" sqref="D11"/>
    </sheetView>
  </sheetViews>
  <sheetFormatPr baseColWidth="10" defaultColWidth="8.83203125" defaultRowHeight="19" x14ac:dyDescent="0.25"/>
  <cols>
    <col min="1" max="1" width="19.33203125" style="1" customWidth="1"/>
    <col min="2" max="2" width="17.5" style="1" customWidth="1"/>
    <col min="3" max="3" width="14.33203125" style="1" customWidth="1"/>
    <col min="4" max="4" width="15.6640625" style="1" customWidth="1"/>
    <col min="5" max="5" width="20.33203125" style="1" customWidth="1"/>
    <col min="6" max="6" width="26.1640625" style="1" customWidth="1"/>
    <col min="7" max="7" width="24.83203125" style="1" customWidth="1"/>
    <col min="8" max="8" width="22.6640625" style="1" customWidth="1"/>
    <col min="9" max="9" width="23.83203125" style="1" customWidth="1"/>
    <col min="10" max="10" width="17.6640625" style="1" customWidth="1"/>
    <col min="11" max="11" width="12.6640625" style="1" customWidth="1"/>
    <col min="12" max="12" width="16.83203125" style="1" customWidth="1"/>
    <col min="13" max="14" width="18.5" style="1" customWidth="1"/>
    <col min="15" max="15" width="22.5" style="1" customWidth="1"/>
    <col min="16" max="16" width="14.33203125" style="1" customWidth="1"/>
    <col min="17" max="16384" width="8.83203125" style="1"/>
  </cols>
  <sheetData>
    <row r="1" spans="1:19" x14ac:dyDescent="0.25">
      <c r="A1" s="1" t="s">
        <v>26</v>
      </c>
    </row>
    <row r="3" spans="1:19" x14ac:dyDescent="0.25">
      <c r="A3" s="1" t="s">
        <v>65</v>
      </c>
      <c r="B3" s="1" t="s">
        <v>207</v>
      </c>
      <c r="C3" s="1" t="s">
        <v>96</v>
      </c>
      <c r="D3" s="1" t="s">
        <v>27</v>
      </c>
      <c r="E3" s="1" t="s">
        <v>20</v>
      </c>
      <c r="F3" s="1" t="s">
        <v>28</v>
      </c>
      <c r="G3" s="1" t="s">
        <v>29</v>
      </c>
      <c r="H3" s="1" t="s">
        <v>63</v>
      </c>
      <c r="I3" s="1" t="s">
        <v>30</v>
      </c>
      <c r="J3" s="1" t="s">
        <v>15</v>
      </c>
      <c r="K3" s="1" t="s">
        <v>31</v>
      </c>
      <c r="L3" s="1" t="s">
        <v>32</v>
      </c>
      <c r="M3" s="1" t="s">
        <v>33</v>
      </c>
      <c r="N3" s="1" t="s">
        <v>34</v>
      </c>
      <c r="O3" s="1" t="s">
        <v>35</v>
      </c>
      <c r="P3" s="1" t="s">
        <v>36</v>
      </c>
      <c r="Q3" s="1" t="s">
        <v>60</v>
      </c>
      <c r="R3" s="1" t="s">
        <v>37</v>
      </c>
      <c r="S3" s="1" t="s">
        <v>38</v>
      </c>
    </row>
    <row r="4" spans="1:19" x14ac:dyDescent="0.25">
      <c r="A4" s="1">
        <v>1</v>
      </c>
      <c r="B4" s="1">
        <v>1</v>
      </c>
      <c r="D4" s="16">
        <v>777</v>
      </c>
      <c r="E4" s="1" t="s">
        <v>23</v>
      </c>
      <c r="F4" s="1" t="s">
        <v>40</v>
      </c>
      <c r="G4" s="1" t="s">
        <v>42</v>
      </c>
      <c r="H4" s="1">
        <f>_xlfn.XLOOKUP(tblAircraft[[#This Row],[Aircraft ID]],tblSystemsDepth[Aircraft ID],tblSystemsDepth[Systems Depth Score],"")</f>
        <v>97</v>
      </c>
      <c r="M4" s="1" t="s">
        <v>49</v>
      </c>
      <c r="P4" s="1" t="s">
        <v>59</v>
      </c>
    </row>
    <row r="5" spans="1:19" x14ac:dyDescent="0.25">
      <c r="A5" s="1">
        <v>2</v>
      </c>
      <c r="B5" s="1">
        <v>2</v>
      </c>
      <c r="D5" s="16" t="s">
        <v>208</v>
      </c>
      <c r="E5" s="1" t="s">
        <v>23</v>
      </c>
      <c r="F5" s="1" t="s">
        <v>209</v>
      </c>
      <c r="G5" s="1" t="s">
        <v>43</v>
      </c>
      <c r="H5" s="1">
        <f>_xlfn.XLOOKUP(tblAircraft[[#This Row],[Aircraft ID]],tblSystemsDepth[Aircraft ID],tblSystemsDepth[Systems Depth Score],"")</f>
        <v>98</v>
      </c>
      <c r="M5" s="1" t="s">
        <v>49</v>
      </c>
    </row>
    <row r="6" spans="1:19" x14ac:dyDescent="0.25">
      <c r="A6" s="1">
        <v>3</v>
      </c>
      <c r="B6" s="1">
        <v>3</v>
      </c>
      <c r="D6" s="1" t="s">
        <v>235</v>
      </c>
      <c r="E6" s="1" t="s">
        <v>23</v>
      </c>
      <c r="F6" s="1" t="s">
        <v>236</v>
      </c>
      <c r="G6" s="1" t="s">
        <v>43</v>
      </c>
      <c r="H6" s="1">
        <f>_xlfn.XLOOKUP(tblAircraft[[#This Row],[Aircraft ID]],tblSystemsDepth[Aircraft ID],tblSystemsDepth[Systems Depth Score],"")</f>
        <v>94</v>
      </c>
    </row>
    <row r="7" spans="1:19" x14ac:dyDescent="0.25">
      <c r="A7" s="1">
        <v>4</v>
      </c>
      <c r="B7" s="1">
        <v>4</v>
      </c>
      <c r="C7" s="1">
        <v>6</v>
      </c>
      <c r="D7" s="1" t="s">
        <v>284</v>
      </c>
      <c r="E7" s="1" t="s">
        <v>23</v>
      </c>
      <c r="F7" s="1" t="s">
        <v>285</v>
      </c>
      <c r="G7" s="1" t="s">
        <v>42</v>
      </c>
      <c r="H7" s="1">
        <f>_xlfn.XLOOKUP(tblAircraft[[#This Row],[Aircraft ID]],tblSystemsDepth[Aircraft ID],tblSystemsDepth[Systems Depth Score],"")</f>
        <v>97</v>
      </c>
    </row>
  </sheetData>
  <dataValidations count="1">
    <dataValidation type="list" allowBlank="1" showInputMessage="1" showErrorMessage="1" sqref="B4:B7" xr:uid="{D8AD4C8A-2884-4C43-9A18-EFD7D4CB2944}">
      <formula1>Manufacturer_ID</formula1>
    </dataValidation>
  </dataValidations>
  <pageMargins left="0.7" right="0.7" top="0.75" bottom="0.75" header="0.3" footer="0.3"/>
  <pageSetup orientation="portrait" horizontalDpi="0" verticalDpi="0"/>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3FC550CF-8DEA-4140-ACA3-C1ED72C0DF28}">
          <x14:formula1>
            <xm:f>'Documentation '!$C$2:$C$8</xm:f>
          </x14:formula1>
          <xm:sqref>G4:G7</xm:sqref>
        </x14:dataValidation>
        <x14:dataValidation type="list" allowBlank="1" showInputMessage="1" showErrorMessage="1" xr:uid="{96E2F05C-072B-2843-B961-DBF7B2CAAD3F}">
          <x14:formula1>
            <xm:f>'Documentation '!$E$2:$E$6</xm:f>
          </x14:formula1>
          <xm:sqref>M4:M7</xm:sqref>
        </x14:dataValidation>
        <x14:dataValidation type="list" allowBlank="1" showInputMessage="1" showErrorMessage="1" xr:uid="{1257A162-1A9D-7149-A935-16118859286C}">
          <x14:formula1>
            <xm:f>'Documentation '!$G$2:$G$9</xm:f>
          </x14:formula1>
          <xm:sqref>P4:Q4</xm:sqref>
        </x14:dataValidation>
        <x14:dataValidation type="list" allowBlank="1" showInputMessage="1" showErrorMessage="1" xr:uid="{9BC1381E-AFD4-5F43-AC58-2C2528058B6D}">
          <x14:formula1>
            <xm:f>'Documentation '!$A$3:$A$7</xm:f>
          </x14:formula1>
          <xm:sqref>E4:E7</xm:sqref>
        </x14:dataValidation>
        <x14:dataValidation type="list" allowBlank="1" showInputMessage="1" showErrorMessage="1" xr:uid="{1670A121-1A9A-4547-96F2-2D0B4E0E2B15}">
          <x14:formula1>
            <xm:f>Aircraft_Variants!$A$4:$A$1000</xm:f>
          </x14:formula1>
          <xm:sqref>C3 C4:C7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E426-1707-5443-9733-49CB8F2A68DA}">
  <dimension ref="A1:F9"/>
  <sheetViews>
    <sheetView topLeftCell="A3" workbookViewId="0">
      <selection activeCell="C13" sqref="C13"/>
    </sheetView>
  </sheetViews>
  <sheetFormatPr baseColWidth="10" defaultRowHeight="21" x14ac:dyDescent="0.25"/>
  <cols>
    <col min="1" max="1" width="27.1640625" style="12" customWidth="1"/>
    <col min="2" max="2" width="19" style="12" customWidth="1"/>
    <col min="3" max="3" width="22.6640625" style="12" customWidth="1"/>
    <col min="4" max="4" width="22.5" style="12" customWidth="1"/>
    <col min="5" max="5" width="28" style="12" customWidth="1"/>
    <col min="6" max="6" width="33.33203125" style="12" customWidth="1"/>
    <col min="7" max="16384" width="10.83203125" style="12"/>
  </cols>
  <sheetData>
    <row r="1" spans="1:6" ht="23" x14ac:dyDescent="0.3">
      <c r="A1" s="11" t="s">
        <v>95</v>
      </c>
    </row>
    <row r="3" spans="1:6" x14ac:dyDescent="0.25">
      <c r="A3" s="12" t="s">
        <v>96</v>
      </c>
      <c r="B3" s="12" t="s">
        <v>65</v>
      </c>
      <c r="C3" s="12" t="s">
        <v>27</v>
      </c>
      <c r="D3" s="12" t="s">
        <v>20</v>
      </c>
      <c r="E3" s="12" t="s">
        <v>97</v>
      </c>
      <c r="F3" s="12" t="s">
        <v>38</v>
      </c>
    </row>
    <row r="4" spans="1:6" ht="22" x14ac:dyDescent="0.3">
      <c r="A4" s="1">
        <v>1</v>
      </c>
      <c r="B4" s="1">
        <v>1</v>
      </c>
      <c r="C4" s="16">
        <f>_xlfn.XLOOKUP(B4,tblAircraft[Aircraft ID],tblAircraft[Aircraft],"")</f>
        <v>777</v>
      </c>
      <c r="D4" s="7" t="str">
        <f>_xlfn.XLOOKUP(B4,tblAircraft[Aircraft ID],tblAircraft[Simulator],"")</f>
        <v>X-Plane 12</v>
      </c>
      <c r="E4" s="1" t="s">
        <v>98</v>
      </c>
      <c r="F4" s="1"/>
    </row>
    <row r="5" spans="1:6" ht="22" x14ac:dyDescent="0.3">
      <c r="A5" s="1">
        <v>2</v>
      </c>
      <c r="B5" s="1">
        <v>1</v>
      </c>
      <c r="C5" s="16">
        <f>_xlfn.XLOOKUP(B5,tblAircraft[Aircraft ID],tblAircraft[Aircraft],"")</f>
        <v>777</v>
      </c>
      <c r="D5" s="7" t="str">
        <f>_xlfn.XLOOKUP(B5,tblAircraft[Aircraft ID],tblAircraft[Simulator],"")</f>
        <v>X-Plane 12</v>
      </c>
      <c r="E5" s="1" t="s">
        <v>99</v>
      </c>
      <c r="F5" s="1"/>
    </row>
    <row r="6" spans="1:6" ht="22" x14ac:dyDescent="0.3">
      <c r="A6" s="1">
        <v>3</v>
      </c>
      <c r="B6" s="1">
        <v>1</v>
      </c>
      <c r="C6" s="16">
        <f>_xlfn.XLOOKUP(B6,tblAircraft[Aircraft ID],tblAircraft[Aircraft],"")</f>
        <v>777</v>
      </c>
      <c r="D6" s="7" t="str">
        <f>_xlfn.XLOOKUP(B6,tblAircraft[Aircraft ID],tblAircraft[Simulator],"")</f>
        <v>X-Plane 12</v>
      </c>
      <c r="E6" s="1" t="s">
        <v>100</v>
      </c>
      <c r="F6" s="1"/>
    </row>
    <row r="7" spans="1:6" ht="22" x14ac:dyDescent="0.3">
      <c r="A7" s="1">
        <v>4</v>
      </c>
      <c r="B7" s="1">
        <v>2</v>
      </c>
      <c r="C7" s="16" t="str">
        <f>_xlfn.XLOOKUP(B7,tblAircraft[Aircraft ID],tblAircraft[Aircraft],"")</f>
        <v>SR20</v>
      </c>
      <c r="D7" s="7" t="str">
        <f>_xlfn.XLOOKUP(B7,tblAircraft[Aircraft ID],tblAircraft[Simulator],"")</f>
        <v>X-Plane 12</v>
      </c>
      <c r="E7" s="1" t="s">
        <v>211</v>
      </c>
      <c r="F7" s="6" t="s">
        <v>212</v>
      </c>
    </row>
    <row r="8" spans="1:6" ht="22" x14ac:dyDescent="0.3">
      <c r="A8" s="1">
        <v>5</v>
      </c>
      <c r="B8" s="1">
        <v>3</v>
      </c>
      <c r="C8" s="16" t="str">
        <f>_xlfn.XLOOKUP(B8,tblAircraft[Aircraft ID],tblAircraft[Aircraft],"")</f>
        <v>DA50</v>
      </c>
      <c r="D8" s="7" t="str">
        <f>_xlfn.XLOOKUP(B8,tblAircraft[Aircraft ID],tblAircraft[Simulator],"")</f>
        <v>X-Plane 12</v>
      </c>
      <c r="E8" s="1" t="s">
        <v>237</v>
      </c>
      <c r="F8" s="6" t="s">
        <v>238</v>
      </c>
    </row>
    <row r="9" spans="1:6" ht="22" x14ac:dyDescent="0.3">
      <c r="A9" s="1">
        <v>6</v>
      </c>
      <c r="B9" s="1">
        <v>4</v>
      </c>
      <c r="C9" s="16" t="str">
        <f>_xlfn.XLOOKUP(B9,tblAircraft[Aircraft ID],tblAircraft[Aircraft],"")</f>
        <v>A321</v>
      </c>
      <c r="D9" s="7" t="str">
        <f>_xlfn.XLOOKUP(B9,tblAircraft[Aircraft ID],tblAircraft[Simulator],"")</f>
        <v>X-Plane 12</v>
      </c>
      <c r="E9" s="1" t="s">
        <v>286</v>
      </c>
      <c r="F9" s="6" t="s">
        <v>287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688B2-2111-1C4B-8FDD-FE1BC4B22EEA}">
  <dimension ref="A1:E8"/>
  <sheetViews>
    <sheetView workbookViewId="0">
      <selection activeCell="E8" sqref="E8"/>
    </sheetView>
  </sheetViews>
  <sheetFormatPr baseColWidth="10" defaultRowHeight="19" x14ac:dyDescent="0.25"/>
  <cols>
    <col min="1" max="1" width="22.6640625" style="1" customWidth="1"/>
    <col min="2" max="2" width="29.6640625" style="1" customWidth="1"/>
    <col min="3" max="3" width="22.6640625" style="1" customWidth="1"/>
    <col min="4" max="4" width="22.1640625" style="1" customWidth="1"/>
    <col min="5" max="5" width="23.33203125" style="1" customWidth="1"/>
    <col min="6" max="16384" width="10.83203125" style="1"/>
  </cols>
  <sheetData>
    <row r="1" spans="1:5" ht="21" x14ac:dyDescent="0.3">
      <c r="A1" s="7" t="s">
        <v>101</v>
      </c>
    </row>
    <row r="3" spans="1:5" x14ac:dyDescent="0.25">
      <c r="A3" s="1" t="s">
        <v>102</v>
      </c>
      <c r="B3" s="1" t="s">
        <v>159</v>
      </c>
      <c r="C3" s="1" t="s">
        <v>103</v>
      </c>
      <c r="D3" s="1" t="s">
        <v>104</v>
      </c>
      <c r="E3" s="1" t="s">
        <v>38</v>
      </c>
    </row>
    <row r="4" spans="1:5" x14ac:dyDescent="0.25">
      <c r="A4" s="1">
        <v>1</v>
      </c>
      <c r="B4" s="1" t="s">
        <v>105</v>
      </c>
      <c r="C4" s="1" t="s">
        <v>106</v>
      </c>
      <c r="D4" s="1" t="s">
        <v>107</v>
      </c>
      <c r="E4" s="1" t="s">
        <v>109</v>
      </c>
    </row>
    <row r="5" spans="1:5" x14ac:dyDescent="0.25">
      <c r="A5" s="1">
        <v>2</v>
      </c>
      <c r="B5" s="1" t="s">
        <v>105</v>
      </c>
      <c r="C5" s="1" t="s">
        <v>108</v>
      </c>
      <c r="D5" s="1" t="s">
        <v>107</v>
      </c>
      <c r="E5" s="1" t="s">
        <v>110</v>
      </c>
    </row>
    <row r="6" spans="1:5" x14ac:dyDescent="0.25">
      <c r="A6" s="1">
        <v>3</v>
      </c>
      <c r="B6" s="1" t="s">
        <v>105</v>
      </c>
      <c r="C6" s="1" t="s">
        <v>116</v>
      </c>
      <c r="D6" s="1" t="s">
        <v>107</v>
      </c>
      <c r="E6" s="1" t="s">
        <v>111</v>
      </c>
    </row>
    <row r="7" spans="1:5" x14ac:dyDescent="0.25">
      <c r="A7" s="1">
        <v>4</v>
      </c>
      <c r="B7" s="1" t="s">
        <v>213</v>
      </c>
      <c r="C7" s="1" t="s">
        <v>214</v>
      </c>
      <c r="D7" s="1" t="s">
        <v>239</v>
      </c>
      <c r="E7" s="1" t="s">
        <v>240</v>
      </c>
    </row>
    <row r="8" spans="1:5" x14ac:dyDescent="0.25">
      <c r="A8" s="1">
        <v>5</v>
      </c>
      <c r="B8" s="6" t="s">
        <v>241</v>
      </c>
      <c r="C8" s="6" t="s">
        <v>242</v>
      </c>
      <c r="D8" s="6" t="s">
        <v>243</v>
      </c>
      <c r="E8" s="6" t="s">
        <v>244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44C86-8734-414C-8D6C-E04854327A28}">
  <dimension ref="A1:F8"/>
  <sheetViews>
    <sheetView workbookViewId="0">
      <selection activeCell="D8" sqref="D8"/>
    </sheetView>
  </sheetViews>
  <sheetFormatPr baseColWidth="10" defaultRowHeight="19" x14ac:dyDescent="0.25"/>
  <cols>
    <col min="1" max="1" width="25.6640625" style="1" customWidth="1"/>
    <col min="2" max="2" width="14.1640625" style="1" customWidth="1"/>
    <col min="3" max="3" width="21.6640625" style="1" customWidth="1"/>
    <col min="4" max="4" width="20.6640625" style="1" customWidth="1"/>
    <col min="5" max="5" width="17.5" style="1" customWidth="1"/>
    <col min="6" max="6" width="13.83203125" style="1" customWidth="1"/>
    <col min="7" max="16384" width="10.83203125" style="1"/>
  </cols>
  <sheetData>
    <row r="1" spans="1:6" ht="21" x14ac:dyDescent="0.3">
      <c r="A1" s="7" t="s">
        <v>112</v>
      </c>
    </row>
    <row r="3" spans="1:6" ht="21" x14ac:dyDescent="0.3">
      <c r="A3" s="7" t="s">
        <v>113</v>
      </c>
      <c r="B3" s="7" t="s">
        <v>96</v>
      </c>
      <c r="C3" s="7" t="s">
        <v>114</v>
      </c>
      <c r="D3" s="7" t="s">
        <v>97</v>
      </c>
      <c r="E3" s="7" t="s">
        <v>115</v>
      </c>
      <c r="F3" s="7" t="s">
        <v>38</v>
      </c>
    </row>
    <row r="4" spans="1:6" x14ac:dyDescent="0.25">
      <c r="A4" s="1">
        <v>1</v>
      </c>
      <c r="B4" s="1">
        <v>1</v>
      </c>
      <c r="C4" s="1">
        <v>1</v>
      </c>
      <c r="D4" s="1" t="str">
        <f>_xlfn.XLOOKUP(tblVariantEngines[[#This Row],[Variant ID]],tblAircraftVariants[Variant ID],tblAircraftVariants[Variant],"")</f>
        <v>777-200ER</v>
      </c>
      <c r="E4" s="1" t="str">
        <f>_xlfn.XLOOKUP(C4,Engines_DB!$A$4:$A$100,Engines_DB!$C$4:$C$100,"")</f>
        <v>GE90-90B</v>
      </c>
    </row>
    <row r="5" spans="1:6" x14ac:dyDescent="0.25">
      <c r="A5" s="1">
        <v>2</v>
      </c>
      <c r="B5" s="1">
        <v>2</v>
      </c>
      <c r="C5" s="1">
        <v>2</v>
      </c>
      <c r="D5" s="1" t="str">
        <f>_xlfn.XLOOKUP(tblVariantEngines[[#This Row],[Variant ID]],tblAircraftVariants[Variant ID],tblAircraftVariants[Variant],"")</f>
        <v>777-300ER</v>
      </c>
      <c r="E5" s="1" t="str">
        <f>_xlfn.XLOOKUP(C5,Engines_DB!$A$4:$A$100,Engines_DB!$C$4:$C$100,"")</f>
        <v>GE90-115BL</v>
      </c>
    </row>
    <row r="6" spans="1:6" x14ac:dyDescent="0.25">
      <c r="A6" s="1">
        <v>3</v>
      </c>
      <c r="B6" s="1">
        <v>3</v>
      </c>
      <c r="C6" s="1">
        <v>3</v>
      </c>
      <c r="D6" s="1" t="str">
        <f>_xlfn.XLOOKUP(tblVariantEngines[[#This Row],[Variant ID]],tblAircraftVariants[Variant ID],tblAircraftVariants[Variant],"")</f>
        <v>777F</v>
      </c>
      <c r="E6" s="1" t="str">
        <f>_xlfn.XLOOKUP(C6,Engines_DB!$A$4:$A$100,Engines_DB!$C$4:$C$100,"")</f>
        <v>GE90-110B1L</v>
      </c>
    </row>
    <row r="7" spans="1:6" x14ac:dyDescent="0.25">
      <c r="A7" s="1">
        <v>4</v>
      </c>
      <c r="B7" s="1">
        <v>4</v>
      </c>
      <c r="C7" s="1">
        <v>4</v>
      </c>
      <c r="D7" s="1" t="str">
        <f>_xlfn.XLOOKUP(tblVariantEngines[[#This Row],[Variant ID]],tblAircraftVariants[Variant ID],tblAircraftVariants[Variant],"")</f>
        <v>SR20  G3</v>
      </c>
      <c r="E7" s="1" t="str">
        <f>_xlfn.XLOOKUP(C7,Engines_DB!$A$4:$A$100,Engines_DB!$C$4:$C$100,"")</f>
        <v>IO-360-ES</v>
      </c>
    </row>
    <row r="8" spans="1:6" x14ac:dyDescent="0.25">
      <c r="A8" s="1">
        <v>5</v>
      </c>
      <c r="B8" s="1">
        <v>5</v>
      </c>
      <c r="C8" s="1">
        <v>5</v>
      </c>
      <c r="D8" s="1" t="str">
        <f>_xlfn.XLOOKUP(tblVariantEngines[[#This Row],[Variant ID]],tblAircraftVariants[Variant ID],tblAircraftVariants[Variant],"")</f>
        <v>DA50 RG</v>
      </c>
      <c r="E8" s="1" t="str">
        <f>_xlfn.XLOOKUP(C8,Engines_DB!$A$4:$A$100,Engines_DB!$C$4:$C$100,"")</f>
        <v>CD-300</v>
      </c>
    </row>
  </sheetData>
  <dataValidations count="2">
    <dataValidation type="list" allowBlank="1" showInputMessage="1" showErrorMessage="1" sqref="B4:B8" xr:uid="{BDC18CE9-C2D8-4F4D-B001-7808C8B74403}">
      <formula1>Variant_ID</formula1>
    </dataValidation>
    <dataValidation type="list" allowBlank="1" showInputMessage="1" showErrorMessage="1" sqref="C4:C8" xr:uid="{93637B54-5FFA-7843-A139-95EAABA72BDD}">
      <formula1>Engine_ID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5CEA3-F4F4-AF44-BEBD-AEAB56EC1A55}">
  <dimension ref="A1:G7"/>
  <sheetViews>
    <sheetView workbookViewId="0">
      <selection activeCell="G7" sqref="G7"/>
    </sheetView>
  </sheetViews>
  <sheetFormatPr baseColWidth="10" defaultColWidth="17" defaultRowHeight="19" x14ac:dyDescent="0.25"/>
  <cols>
    <col min="1" max="1" width="24.33203125" style="1" customWidth="1"/>
    <col min="2" max="5" width="17" style="1"/>
    <col min="6" max="6" width="34" style="1" customWidth="1"/>
    <col min="7" max="16384" width="17" style="1"/>
  </cols>
  <sheetData>
    <row r="1" spans="1:7" x14ac:dyDescent="0.25">
      <c r="A1" s="1" t="s">
        <v>153</v>
      </c>
    </row>
    <row r="3" spans="1:7" x14ac:dyDescent="0.25">
      <c r="A3" s="1" t="s">
        <v>154</v>
      </c>
      <c r="B3" s="1" t="s">
        <v>96</v>
      </c>
      <c r="C3" s="1" t="s">
        <v>65</v>
      </c>
      <c r="D3" s="1" t="s">
        <v>27</v>
      </c>
      <c r="E3" s="1" t="s">
        <v>20</v>
      </c>
      <c r="F3" s="1" t="s">
        <v>155</v>
      </c>
      <c r="G3" s="1" t="s">
        <v>38</v>
      </c>
    </row>
    <row r="4" spans="1:7" x14ac:dyDescent="0.25">
      <c r="A4" s="1">
        <v>1</v>
      </c>
      <c r="B4" s="1">
        <v>1</v>
      </c>
      <c r="C4" s="1">
        <f>IF(tblAircraftConfigurations[[#This Row],[Variant ID]]="","",_xlfn.XLOOKUP(tblAircraftConfigurations[[#This Row],[Variant ID]],tblAircraftVariants[Variant ID],tblAircraftVariants[Aircraft ID],""))</f>
        <v>1</v>
      </c>
      <c r="D4" s="16">
        <f>IF(tblAircraftConfigurations[[#This Row],[Aircraft ID]]="","",_xlfn.XLOOKUP(tblAircraftConfigurations[[#This Row],[Aircraft ID]],tblAircraft[Aircraft ID],tblAircraft[Aircraft],""))</f>
        <v>777</v>
      </c>
      <c r="E4" s="1" t="str">
        <f>IF(tblAircraftConfigurations[[#This Row],[Aircraft ID]]="","",_xlfn.XLOOKUP(tblAircraftConfigurations[[#This Row],[Aircraft ID]],tblAircraft[Aircraft ID],tblAircraft[Simulator],""))</f>
        <v>X-Plane 12</v>
      </c>
      <c r="F4" s="1" t="s">
        <v>156</v>
      </c>
    </row>
    <row r="5" spans="1:7" x14ac:dyDescent="0.25">
      <c r="A5" s="1">
        <v>2</v>
      </c>
      <c r="B5" s="1">
        <v>4</v>
      </c>
      <c r="C5" s="1">
        <f>IF(tblAircraftConfigurations[[#This Row],[Variant ID]]="","",_xlfn.XLOOKUP(tblAircraftConfigurations[[#This Row],[Variant ID]],tblAircraftVariants[Variant ID],tblAircraftVariants[Aircraft ID],""))</f>
        <v>2</v>
      </c>
      <c r="D5" s="16" t="str">
        <f>IF(tblAircraftConfigurations[[#This Row],[Aircraft ID]]="","",_xlfn.XLOOKUP(tblAircraftConfigurations[[#This Row],[Aircraft ID]],tblAircraft[Aircraft ID],tblAircraft[Aircraft],""))</f>
        <v>SR20</v>
      </c>
      <c r="E5" s="1" t="str">
        <f>IF(tblAircraftConfigurations[[#This Row],[Aircraft ID]]="","",_xlfn.XLOOKUP(tblAircraftConfigurations[[#This Row],[Aircraft ID]],tblAircraft[Aircraft ID],tblAircraft[Simulator],""))</f>
        <v>X-Plane 12</v>
      </c>
      <c r="F5" s="1" t="s">
        <v>215</v>
      </c>
      <c r="G5" s="6" t="s">
        <v>216</v>
      </c>
    </row>
    <row r="6" spans="1:7" x14ac:dyDescent="0.25">
      <c r="A6" s="1">
        <v>3</v>
      </c>
      <c r="B6" s="1">
        <v>5</v>
      </c>
      <c r="C6" s="1">
        <f>IF(tblAircraftConfigurations[[#This Row],[Variant ID]]="","",_xlfn.XLOOKUP(tblAircraftConfigurations[[#This Row],[Variant ID]],tblAircraftVariants[Variant ID],tblAircraftVariants[Aircraft ID],""))</f>
        <v>3</v>
      </c>
      <c r="D6" s="16" t="str">
        <f>IF(tblAircraftConfigurations[[#This Row],[Aircraft ID]]="","",_xlfn.XLOOKUP(tblAircraftConfigurations[[#This Row],[Aircraft ID]],tblAircraft[Aircraft ID],tblAircraft[Aircraft],""))</f>
        <v>DA50</v>
      </c>
      <c r="E6" s="1" t="str">
        <f>IF(tblAircraftConfigurations[[#This Row],[Aircraft ID]]="","",_xlfn.XLOOKUP(tblAircraftConfigurations[[#This Row],[Aircraft ID]],tblAircraft[Aircraft ID],tblAircraft[Simulator],""))</f>
        <v>X-Plane 12</v>
      </c>
      <c r="F6" s="6" t="s">
        <v>245</v>
      </c>
      <c r="G6" s="6" t="s">
        <v>246</v>
      </c>
    </row>
    <row r="7" spans="1:7" x14ac:dyDescent="0.25">
      <c r="A7" s="1">
        <v>4</v>
      </c>
      <c r="B7" s="1">
        <v>6</v>
      </c>
      <c r="C7" s="1">
        <f>IF(tblAircraftConfigurations[[#This Row],[Variant ID]]="","",_xlfn.XLOOKUP(tblAircraftConfigurations[[#This Row],[Variant ID]],tblAircraftVariants[Variant ID],tblAircraftVariants[Aircraft ID],""))</f>
        <v>4</v>
      </c>
      <c r="D7" s="16" t="str">
        <f>IF(tblAircraftConfigurations[[#This Row],[Aircraft ID]]="","",_xlfn.XLOOKUP(tblAircraftConfigurations[[#This Row],[Aircraft ID]],tblAircraft[Aircraft ID],tblAircraft[Aircraft],""))</f>
        <v>A321</v>
      </c>
      <c r="E7" s="1" t="str">
        <f>IF(tblAircraftConfigurations[[#This Row],[Aircraft ID]]="","",_xlfn.XLOOKUP(tblAircraftConfigurations[[#This Row],[Aircraft ID]],tblAircraft[Aircraft ID],tblAircraft[Simulator],""))</f>
        <v>X-Plane 12</v>
      </c>
      <c r="F7" t="s">
        <v>288</v>
      </c>
      <c r="G7" s="6" t="s">
        <v>289</v>
      </c>
    </row>
  </sheetData>
  <dataValidations count="1">
    <dataValidation type="list" allowBlank="1" showInputMessage="1" showErrorMessage="1" sqref="B4:B7" xr:uid="{312D2B53-AC9F-A341-9B6F-2E523E947221}">
      <formula1>Variant_ID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658DD-099B-2141-BACF-EFFE3F1CB921}">
  <dimension ref="A1:N7"/>
  <sheetViews>
    <sheetView topLeftCell="G1" workbookViewId="0">
      <selection activeCell="K4" sqref="K4"/>
    </sheetView>
  </sheetViews>
  <sheetFormatPr baseColWidth="10" defaultRowHeight="19" x14ac:dyDescent="0.25"/>
  <cols>
    <col min="1" max="1" width="17" style="1" customWidth="1"/>
    <col min="2" max="2" width="23.33203125" style="1" customWidth="1"/>
    <col min="3" max="3" width="19.6640625" style="1" customWidth="1"/>
    <col min="4" max="4" width="21.1640625" style="1" customWidth="1"/>
    <col min="5" max="5" width="32.1640625" style="1" customWidth="1"/>
    <col min="6" max="6" width="26.1640625" style="1" customWidth="1"/>
    <col min="7" max="7" width="33" style="1" customWidth="1"/>
    <col min="8" max="8" width="26.1640625" style="1" customWidth="1"/>
    <col min="9" max="9" width="31.83203125" style="1" customWidth="1"/>
    <col min="10" max="10" width="24.5" style="1" customWidth="1"/>
    <col min="11" max="11" width="20.83203125" style="1" customWidth="1"/>
    <col min="12" max="12" width="21.1640625" style="1" customWidth="1"/>
    <col min="13" max="13" width="28" style="1" customWidth="1"/>
    <col min="14" max="14" width="15.33203125" style="1" customWidth="1"/>
    <col min="15" max="16384" width="10.83203125" style="1"/>
  </cols>
  <sheetData>
    <row r="1" spans="1:14" x14ac:dyDescent="0.25">
      <c r="A1" s="1" t="s">
        <v>64</v>
      </c>
    </row>
    <row r="3" spans="1:14" x14ac:dyDescent="0.25">
      <c r="A3" s="1" t="s">
        <v>140</v>
      </c>
      <c r="B3" s="1" t="s">
        <v>152</v>
      </c>
      <c r="C3" s="1" t="s">
        <v>65</v>
      </c>
      <c r="D3" s="1" t="s">
        <v>96</v>
      </c>
      <c r="E3" s="1" t="s">
        <v>97</v>
      </c>
      <c r="F3" s="1" t="s">
        <v>27</v>
      </c>
      <c r="G3" s="1" t="s">
        <v>20</v>
      </c>
      <c r="H3" s="1" t="s">
        <v>66</v>
      </c>
      <c r="I3" s="1" t="s">
        <v>67</v>
      </c>
      <c r="J3" s="1" t="s">
        <v>68</v>
      </c>
      <c r="K3" s="1" t="s">
        <v>69</v>
      </c>
      <c r="L3" s="1" t="s">
        <v>70</v>
      </c>
      <c r="M3" s="1" t="s">
        <v>71</v>
      </c>
      <c r="N3" s="1" t="s">
        <v>72</v>
      </c>
    </row>
    <row r="4" spans="1:14" ht="20" customHeight="1" x14ac:dyDescent="0.3">
      <c r="A4" s="1">
        <v>1</v>
      </c>
      <c r="C4" s="1">
        <v>1</v>
      </c>
      <c r="E4" s="1" t="str">
        <f>IF(tblSystemsDepth[[#This Row],[Variant ID]]="","",_xlfn.XLOOKUP(tblSystemsDepth[[#This Row],[Variant ID]],tblAircraftVariants[Variant ID],tblAircraftVariants[Variant],""))</f>
        <v/>
      </c>
      <c r="F4" s="7">
        <f>_xlfn.XLOOKUP(tblSystemsDepth[[#This Row],[Aircraft ID]],tblAircraft[Aircraft ID],tblAircraft[Aircraft],"")</f>
        <v>777</v>
      </c>
      <c r="G4" s="1" t="str">
        <f>_xlfn.XLOOKUP(tblSystemsDepth[[#This Row],[Aircraft ID]],tblAircraft[Aircraft ID],tblAircraft[Simulator],"")</f>
        <v>X-Plane 12</v>
      </c>
      <c r="H4" s="1">
        <v>19</v>
      </c>
      <c r="I4" s="1">
        <v>19</v>
      </c>
      <c r="J4" s="1">
        <v>20</v>
      </c>
      <c r="K4" s="1">
        <v>19</v>
      </c>
      <c r="L4" s="1">
        <v>20</v>
      </c>
      <c r="M4" s="9">
        <f>IF(COUNT(tblSystemsDepth[[#This Row],[Electrical Systems]]:tblSystemsDepth[[#This Row],[Procedural Fidelity]])=0,"",ROUND(SUM(tblSystemsDepth[[#This Row],[Electrical Systems]]:tblSystemsDepth[[#This Row],[Procedural Fidelity]])/(COUNT(tblSystemsDepth[[#This Row],[Electrical Systems]]:tblSystemsDepth[[#This Row],[Procedural Fidelity]])*20)*100,0))</f>
        <v>97</v>
      </c>
      <c r="N4" s="10">
        <v>46274</v>
      </c>
    </row>
    <row r="5" spans="1:14" x14ac:dyDescent="0.25">
      <c r="A5" s="1">
        <v>2</v>
      </c>
      <c r="B5" s="1" t="s">
        <v>97</v>
      </c>
      <c r="C5" s="1">
        <v>2</v>
      </c>
      <c r="D5" s="1">
        <v>4</v>
      </c>
      <c r="E5" s="1" t="str">
        <f>IF(tblSystemsDepth[[#This Row],[Variant ID]]="","",_xlfn.XLOOKUP(tblSystemsDepth[[#This Row],[Variant ID]],tblAircraftVariants[Variant ID],tblAircraftVariants[Variant],""))</f>
        <v>SR20  G3</v>
      </c>
      <c r="F5" s="1" t="str">
        <f>_xlfn.XLOOKUP(tblSystemsDepth[[#This Row],[Aircraft ID]],tblAircraft[Aircraft ID],tblAircraft[Aircraft],"")</f>
        <v>SR20</v>
      </c>
      <c r="G5" s="1" t="str">
        <f>_xlfn.XLOOKUP(tblSystemsDepth[[#This Row],[Aircraft ID]],tblAircraft[Aircraft ID],tblAircraft[Simulator],"")</f>
        <v>X-Plane 12</v>
      </c>
      <c r="H5" s="1">
        <v>20</v>
      </c>
      <c r="I5" s="1">
        <v>19</v>
      </c>
      <c r="J5" s="1">
        <v>20</v>
      </c>
      <c r="K5" s="1">
        <v>20</v>
      </c>
      <c r="L5" s="1">
        <v>19</v>
      </c>
      <c r="M5" s="9">
        <f>IF(COUNT(tblSystemsDepth[[#This Row],[Electrical Systems]]:tblSystemsDepth[[#This Row],[Procedural Fidelity]])=0,"",ROUND(SUM(tblSystemsDepth[[#This Row],[Electrical Systems]]:tblSystemsDepth[[#This Row],[Procedural Fidelity]])/(COUNT(tblSystemsDepth[[#This Row],[Electrical Systems]]:tblSystemsDepth[[#This Row],[Procedural Fidelity]])*20)*100,0))</f>
        <v>98</v>
      </c>
      <c r="N5" s="10">
        <v>46275</v>
      </c>
    </row>
    <row r="6" spans="1:14" x14ac:dyDescent="0.25">
      <c r="A6" s="1">
        <v>3</v>
      </c>
      <c r="B6" s="1" t="s">
        <v>97</v>
      </c>
      <c r="C6" s="1">
        <v>3</v>
      </c>
      <c r="D6" s="1">
        <v>5</v>
      </c>
      <c r="E6" s="1" t="str">
        <f>IF(tblSystemsDepth[[#This Row],[Variant ID]]="","",_xlfn.XLOOKUP(tblSystemsDepth[[#This Row],[Variant ID]],tblAircraftVariants[Variant ID],tblAircraftVariants[Variant],""))</f>
        <v>DA50 RG</v>
      </c>
      <c r="F6" s="1" t="str">
        <f>_xlfn.XLOOKUP(tblSystemsDepth[[#This Row],[Aircraft ID]],tblAircraft[Aircraft ID],tblAircraft[Aircraft],"")</f>
        <v>DA50</v>
      </c>
      <c r="G6" s="1" t="str">
        <f>_xlfn.XLOOKUP(tblSystemsDepth[[#This Row],[Aircraft ID]],tblAircraft[Aircraft ID],tblAircraft[Simulator],"")</f>
        <v>X-Plane 12</v>
      </c>
      <c r="H6" s="1">
        <v>19</v>
      </c>
      <c r="I6" s="1">
        <v>19</v>
      </c>
      <c r="J6" s="1">
        <v>20</v>
      </c>
      <c r="K6" s="1">
        <v>18</v>
      </c>
      <c r="L6" s="1">
        <v>18</v>
      </c>
      <c r="M6" s="9">
        <f>IF(COUNT(tblSystemsDepth[[#This Row],[Electrical Systems]]:tblSystemsDepth[[#This Row],[Procedural Fidelity]])=0,"",ROUND(SUM(tblSystemsDepth[[#This Row],[Electrical Systems]]:tblSystemsDepth[[#This Row],[Procedural Fidelity]])/(COUNT(tblSystemsDepth[[#This Row],[Electrical Systems]]:tblSystemsDepth[[#This Row],[Procedural Fidelity]])*20)*100,0))</f>
        <v>94</v>
      </c>
      <c r="N6" s="10">
        <v>46276</v>
      </c>
    </row>
    <row r="7" spans="1:14" x14ac:dyDescent="0.25">
      <c r="A7" s="1">
        <v>4</v>
      </c>
      <c r="B7" s="1" t="s">
        <v>97</v>
      </c>
      <c r="C7" s="1">
        <v>4</v>
      </c>
      <c r="D7" s="1">
        <v>6</v>
      </c>
      <c r="E7" s="1" t="str">
        <f>IF(tblSystemsDepth[[#This Row],[Variant ID]]="","",_xlfn.XLOOKUP(tblSystemsDepth[[#This Row],[Variant ID]],tblAircraftVariants[Variant ID],tblAircraftVariants[Variant],""))</f>
        <v>A321-200</v>
      </c>
      <c r="F7" s="1" t="str">
        <f>_xlfn.XLOOKUP(tblSystemsDepth[[#This Row],[Aircraft ID]],tblAircraft[Aircraft ID],tblAircraft[Aircraft],"")</f>
        <v>A321</v>
      </c>
      <c r="G7" s="1" t="str">
        <f>_xlfn.XLOOKUP(tblSystemsDepth[[#This Row],[Aircraft ID]],tblAircraft[Aircraft ID],tblAircraft[Simulator],"")</f>
        <v>X-Plane 12</v>
      </c>
      <c r="H7" s="1">
        <v>19</v>
      </c>
      <c r="I7" s="1">
        <v>19</v>
      </c>
      <c r="J7" s="1">
        <v>20</v>
      </c>
      <c r="K7" s="1">
        <v>19</v>
      </c>
      <c r="L7" s="1">
        <v>20</v>
      </c>
      <c r="M7" s="9">
        <f>IF(COUNT(tblSystemsDepth[[#This Row],[Electrical Systems]]:tblSystemsDepth[[#This Row],[Procedural Fidelity]])=0,"",ROUND(SUM(tblSystemsDepth[[#This Row],[Electrical Systems]]:tblSystemsDepth[[#This Row],[Procedural Fidelity]])/(COUNT(tblSystemsDepth[[#This Row],[Electrical Systems]]:tblSystemsDepth[[#This Row],[Procedural Fidelity]])*20)*100,0))</f>
        <v>97</v>
      </c>
      <c r="N7" s="10">
        <v>46280</v>
      </c>
    </row>
  </sheetData>
  <dataValidations count="4">
    <dataValidation type="whole" errorStyle="information" allowBlank="1" showInputMessage="1" showErrorMessage="1" promptTitle="Inputs" prompt="These can only be between 0 and 20 each" sqref="H4:L7" xr:uid="{5CF3BD8A-766F-9D47-BF8F-707BE544203C}">
      <formula1>0</formula1>
      <formula2>20</formula2>
    </dataValidation>
    <dataValidation type="list" allowBlank="1" showInputMessage="1" showErrorMessage="1" sqref="A4:A7 C4:C7" xr:uid="{179C427F-38EB-8C46-B2E1-12AE6E90FF8C}">
      <formula1>AircraftIDs</formula1>
    </dataValidation>
    <dataValidation type="list" allowBlank="1" showInputMessage="1" showErrorMessage="1" sqref="B4:B7" xr:uid="{D1A950CB-7EBC-1E48-A214-80AC794D6B18}">
      <formula1>Evaluation_Scope</formula1>
    </dataValidation>
    <dataValidation type="list" allowBlank="1" showInputMessage="1" showErrorMessage="1" sqref="D4:D7" xr:uid="{5045F55A-AD69-E047-A95A-0EC7649530B8}">
      <formula1>Variant_ID</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DB576-BB92-6B4E-B1CA-75A02BF3F966}">
  <dimension ref="A1:G13"/>
  <sheetViews>
    <sheetView workbookViewId="0">
      <selection activeCell="G13" sqref="G13"/>
    </sheetView>
  </sheetViews>
  <sheetFormatPr baseColWidth="10" defaultColWidth="20.33203125" defaultRowHeight="16" x14ac:dyDescent="0.2"/>
  <cols>
    <col min="1" max="1" width="25.6640625" style="13" customWidth="1"/>
    <col min="2" max="2" width="20.33203125" style="13" customWidth="1"/>
    <col min="3" max="3" width="20.33203125" style="13"/>
    <col min="4" max="4" width="21.5" style="13" customWidth="1"/>
    <col min="5" max="5" width="47.6640625" style="13" customWidth="1"/>
    <col min="6" max="6" width="20.33203125" style="13"/>
    <col min="7" max="7" width="52.1640625" style="13" customWidth="1"/>
    <col min="8" max="16384" width="20.33203125" style="13"/>
  </cols>
  <sheetData>
    <row r="1" spans="1:7" x14ac:dyDescent="0.2">
      <c r="A1" s="13" t="s">
        <v>141</v>
      </c>
    </row>
    <row r="3" spans="1:7" ht="18" x14ac:dyDescent="0.25">
      <c r="A3" s="9" t="s">
        <v>142</v>
      </c>
      <c r="B3" s="9" t="s">
        <v>140</v>
      </c>
      <c r="C3" s="9" t="s">
        <v>81</v>
      </c>
      <c r="D3" s="9" t="s">
        <v>27</v>
      </c>
      <c r="E3" s="9" t="s">
        <v>93</v>
      </c>
      <c r="F3" s="9" t="s">
        <v>143</v>
      </c>
      <c r="G3" s="9" t="s">
        <v>38</v>
      </c>
    </row>
    <row r="4" spans="1:7" ht="18" x14ac:dyDescent="0.25">
      <c r="A4" s="13">
        <v>1</v>
      </c>
      <c r="B4" s="13">
        <v>1</v>
      </c>
      <c r="C4" s="13">
        <v>2</v>
      </c>
      <c r="D4" s="22">
        <f>_xlfn.XLOOKUP(tblEvaluationSources[[#This Row],[Evaluation ID]],tblSystemsDepth[Evaluation ID],tblSystemsDepth[Aircraft],"")</f>
        <v>777</v>
      </c>
      <c r="E4" s="9" t="str">
        <f>_xlfn.XLOOKUP(tblEvaluationSources[[#This Row],[Source ID]],tblSources[Source ID],tblSources[Source Name],"")</f>
        <v>FlightFactor 777 Ultimate Introduction Bulletin</v>
      </c>
      <c r="F4" s="13" t="s">
        <v>144</v>
      </c>
      <c r="G4" s="13" t="s">
        <v>145</v>
      </c>
    </row>
    <row r="5" spans="1:7" x14ac:dyDescent="0.2">
      <c r="A5" s="13">
        <v>2</v>
      </c>
      <c r="B5" s="13">
        <v>1</v>
      </c>
      <c r="C5" s="13">
        <v>6</v>
      </c>
      <c r="D5" s="22">
        <f>_xlfn.XLOOKUP(tblEvaluationSources[[#This Row],[Evaluation ID]],tblSystemsDepth[Evaluation ID],tblSystemsDepth[Aircraft],"")</f>
        <v>777</v>
      </c>
      <c r="E5" s="13" t="str">
        <f>_xlfn.XLOOKUP(tblEvaluationSources[[#This Row],[Source ID]],tblSources[Source ID],tblSources[Source Name],"")</f>
        <v>FlightFactor 777 Systems Manual</v>
      </c>
      <c r="F5" s="13" t="s">
        <v>146</v>
      </c>
      <c r="G5" s="13" t="s">
        <v>147</v>
      </c>
    </row>
    <row r="6" spans="1:7" x14ac:dyDescent="0.2">
      <c r="A6" s="13">
        <v>3</v>
      </c>
      <c r="B6" s="13">
        <v>1</v>
      </c>
      <c r="C6" s="13">
        <v>7</v>
      </c>
      <c r="D6" s="22">
        <f>_xlfn.XLOOKUP(tblEvaluationSources[[#This Row],[Evaluation ID]],tblSystemsDepth[Evaluation ID],tblSystemsDepth[Aircraft],"")</f>
        <v>777</v>
      </c>
      <c r="E6" s="13" t="str">
        <f>_xlfn.XLOOKUP(tblEvaluationSources[[#This Row],[Source ID]],tblSources[Source ID],tblSources[Source Name],"")</f>
        <v>FlightFactor 777 Cockpit Guide</v>
      </c>
      <c r="F6" s="13" t="s">
        <v>144</v>
      </c>
      <c r="G6" s="13" t="s">
        <v>148</v>
      </c>
    </row>
    <row r="7" spans="1:7" x14ac:dyDescent="0.2">
      <c r="A7" s="13">
        <v>4</v>
      </c>
      <c r="B7" s="13">
        <v>1</v>
      </c>
      <c r="C7" s="13">
        <v>8</v>
      </c>
      <c r="D7" s="22">
        <f>_xlfn.XLOOKUP(tblEvaluationSources[[#This Row],[Evaluation ID]],tblSystemsDepth[Evaluation ID],tblSystemsDepth[Aircraft],"")</f>
        <v>777</v>
      </c>
      <c r="E7" s="13" t="str">
        <f>_xlfn.XLOOKUP(tblEvaluationSources[[#This Row],[Source ID]],tblSources[Source ID],tblSources[Source Name],"")</f>
        <v>FlightFactor 777 Automatic Interactive Procedures</v>
      </c>
      <c r="F7" s="13" t="s">
        <v>144</v>
      </c>
      <c r="G7" s="13" t="s">
        <v>149</v>
      </c>
    </row>
    <row r="8" spans="1:7" ht="17" x14ac:dyDescent="0.25">
      <c r="A8" s="21">
        <v>5</v>
      </c>
      <c r="B8" s="21">
        <v>2</v>
      </c>
      <c r="C8" s="21">
        <v>11</v>
      </c>
      <c r="D8" s="23" t="str">
        <f>_xlfn.XLOOKUP(tblEvaluationSources[[#This Row],[Evaluation ID]],tblSystemsDepth[Evaluation ID],tblSystemsDepth[Aircraft],"")</f>
        <v>SR20</v>
      </c>
      <c r="E8" s="21" t="str">
        <f>_xlfn.XLOOKUP(tblEvaluationSources[[#This Row],[Source ID]],tblSources[Source ID],tblSources[Source Name],"")</f>
        <v>TorqueSim SR20 Airplane Information Manual</v>
      </c>
      <c r="F8" s="21" t="s">
        <v>146</v>
      </c>
      <c r="G8" s="6" t="s">
        <v>232</v>
      </c>
    </row>
    <row r="9" spans="1:7" ht="17" x14ac:dyDescent="0.25">
      <c r="A9" s="21">
        <v>6</v>
      </c>
      <c r="B9" s="21">
        <v>2</v>
      </c>
      <c r="C9" s="21">
        <v>12</v>
      </c>
      <c r="D9" s="23" t="str">
        <f>_xlfn.XLOOKUP(tblEvaluationSources[[#This Row],[Evaluation ID]],tblSystemsDepth[Evaluation ID],tblSystemsDepth[Aircraft],"")</f>
        <v>SR20</v>
      </c>
      <c r="E9" s="21" t="str">
        <f>_xlfn.XLOOKUP(tblEvaluationSources[[#This Row],[Source ID]],tblSources[Source ID],tblSources[Source Name],"")</f>
        <v>TorqueSim SR20 Garmin Perspective Direct Testing</v>
      </c>
      <c r="F9" s="21" t="s">
        <v>196</v>
      </c>
      <c r="G9" s="6" t="s">
        <v>233</v>
      </c>
    </row>
    <row r="10" spans="1:7" x14ac:dyDescent="0.2">
      <c r="A10" s="24">
        <v>7</v>
      </c>
      <c r="B10" s="24">
        <v>3</v>
      </c>
      <c r="C10" s="24">
        <v>13</v>
      </c>
      <c r="D10" s="27" t="str">
        <f>_xlfn.XLOOKUP(tblEvaluationSources[[#This Row],[Evaluation ID]],tblSystemsDepth[Evaluation ID],tblSystemsDepth[Aircraft],"")</f>
        <v>DA50</v>
      </c>
      <c r="E10" s="24" t="str">
        <f>_xlfn.XLOOKUP(tblEvaluationSources[[#This Row],[Source ID]],tblSources[Source ID],tblSources[Source Name],"")</f>
        <v>Aerobask Diamond DA50 RG Aircraft Flight Manual</v>
      </c>
      <c r="F10" s="24"/>
      <c r="G10" s="24"/>
    </row>
    <row r="11" spans="1:7" x14ac:dyDescent="0.2">
      <c r="A11" s="24">
        <v>8</v>
      </c>
      <c r="B11" s="24">
        <v>3</v>
      </c>
      <c r="C11" s="24">
        <v>14</v>
      </c>
      <c r="D11" s="27" t="str">
        <f>_xlfn.XLOOKUP(tblEvaluationSources[[#This Row],[Evaluation ID]],tblSystemsDepth[Evaluation ID],tblSystemsDepth[Aircraft],"")</f>
        <v>DA50</v>
      </c>
      <c r="E11" s="24" t="str">
        <f>_xlfn.XLOOKUP(tblEvaluationSources[[#This Row],[Source ID]],tblSources[Source ID],tblSources[Source Name],"")</f>
        <v>Aerobask DA50 RG Direct Testing</v>
      </c>
      <c r="F11" s="24"/>
      <c r="G11" s="24"/>
    </row>
    <row r="12" spans="1:7" x14ac:dyDescent="0.2">
      <c r="A12" s="29">
        <v>9</v>
      </c>
      <c r="B12" s="29">
        <v>4</v>
      </c>
      <c r="C12" s="29">
        <v>17</v>
      </c>
      <c r="D12" s="30" t="str">
        <f>_xlfn.XLOOKUP(tblEvaluationSources[[#This Row],[Evaluation ID]],tblSystemsDepth[Evaluation ID],tblSystemsDepth[Aircraft],"")</f>
        <v>A321</v>
      </c>
      <c r="E12" s="29" t="str">
        <f>_xlfn.XLOOKUP(tblEvaluationSources[[#This Row],[Source ID]],tblSources[Source ID],tblSources[Source Name],"")</f>
        <v>ToLiss A321 Direct Flight Evaluation</v>
      </c>
      <c r="F12" s="29" t="s">
        <v>146</v>
      </c>
      <c r="G12" t="s">
        <v>292</v>
      </c>
    </row>
    <row r="13" spans="1:7" x14ac:dyDescent="0.2">
      <c r="A13" s="31">
        <v>10</v>
      </c>
      <c r="B13" s="31">
        <v>4</v>
      </c>
      <c r="C13" s="31">
        <v>18</v>
      </c>
      <c r="D13" s="34" t="str">
        <f>_xlfn.XLOOKUP(tblEvaluationSources[[#This Row],[Evaluation ID]],tblSystemsDepth[Evaluation ID],tblSystemsDepth[Aircraft],"")</f>
        <v>A321</v>
      </c>
      <c r="E13" s="31" t="str">
        <f>_xlfn.XLOOKUP(tblEvaluationSources[[#This Row],[Source ID]],tblSources[Source ID],tblSources[Source Name],"")</f>
        <v>ToLiss A321 Developer Documentation</v>
      </c>
      <c r="F13" s="31" t="s">
        <v>144</v>
      </c>
      <c r="G13" t="s">
        <v>295</v>
      </c>
    </row>
  </sheetData>
  <dataValidations count="3">
    <dataValidation type="list" allowBlank="1" showInputMessage="1" showErrorMessage="1" sqref="B4:B13" xr:uid="{F13299B6-8FC3-C34E-960F-9F6320E403C0}">
      <formula1>Evaluation_ID</formula1>
    </dataValidation>
    <dataValidation type="list" allowBlank="1" showInputMessage="1" showErrorMessage="1" sqref="C4:C13 E5:E7" xr:uid="{DBD4BECA-D05A-D942-AF25-810424804D5C}">
      <formula1>Source_ID</formula1>
    </dataValidation>
    <dataValidation type="list" allowBlank="1" showInputMessage="1" showErrorMessage="1" sqref="F4:F13" xr:uid="{EF84A422-193B-BA41-85FE-8272D3667363}">
      <formula1>"Primary,Supporting,Direct Testing"</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4C4B6-8AF1-5F43-AF51-C8B79B79BD01}">
  <dimension ref="A1"/>
  <sheetViews>
    <sheetView topLeftCell="A4" workbookViewId="0"/>
  </sheetViews>
  <sheetFormatPr baseColWidth="10" defaultRowHeight="15" x14ac:dyDescent="0.2"/>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2A9D0-54F7-BF44-9182-083A900A43BA}">
  <dimension ref="A1:F20"/>
  <sheetViews>
    <sheetView workbookViewId="0">
      <selection activeCell="A21" sqref="A21"/>
    </sheetView>
  </sheetViews>
  <sheetFormatPr baseColWidth="10" defaultColWidth="28.6640625" defaultRowHeight="19" x14ac:dyDescent="0.25"/>
  <cols>
    <col min="1" max="5" width="28.6640625" style="1"/>
    <col min="6" max="6" width="66.1640625" style="1" customWidth="1"/>
    <col min="7" max="16384" width="28.6640625" style="1"/>
  </cols>
  <sheetData>
    <row r="1" spans="1:6" x14ac:dyDescent="0.25">
      <c r="A1" s="1" t="s">
        <v>157</v>
      </c>
    </row>
    <row r="3" spans="1:6" x14ac:dyDescent="0.25">
      <c r="A3" s="1" t="s">
        <v>158</v>
      </c>
      <c r="B3" s="1" t="s">
        <v>217</v>
      </c>
      <c r="C3" s="1" t="s">
        <v>160</v>
      </c>
      <c r="D3" s="1" t="s">
        <v>161</v>
      </c>
      <c r="E3" s="1" t="s">
        <v>162</v>
      </c>
      <c r="F3" s="1" t="s">
        <v>38</v>
      </c>
    </row>
    <row r="4" spans="1:6" x14ac:dyDescent="0.25">
      <c r="A4" s="1">
        <v>1</v>
      </c>
      <c r="B4" s="1" t="s">
        <v>218</v>
      </c>
      <c r="C4" s="1" t="s">
        <v>168</v>
      </c>
      <c r="D4" s="1" t="s">
        <v>176</v>
      </c>
      <c r="F4" s="9" t="s">
        <v>177</v>
      </c>
    </row>
    <row r="5" spans="1:6" x14ac:dyDescent="0.25">
      <c r="A5" s="1">
        <v>2</v>
      </c>
      <c r="B5" s="1" t="s">
        <v>219</v>
      </c>
      <c r="C5" s="1" t="s">
        <v>169</v>
      </c>
      <c r="D5" s="1" t="s">
        <v>220</v>
      </c>
      <c r="E5" s="1" t="s">
        <v>221</v>
      </c>
      <c r="F5" s="6" t="s">
        <v>222</v>
      </c>
    </row>
    <row r="6" spans="1:6" x14ac:dyDescent="0.25">
      <c r="A6" s="1">
        <v>3</v>
      </c>
      <c r="B6" s="1" t="s">
        <v>219</v>
      </c>
      <c r="C6" s="1" t="s">
        <v>169</v>
      </c>
      <c r="D6" s="6" t="s">
        <v>247</v>
      </c>
      <c r="F6" s="6" t="s">
        <v>248</v>
      </c>
    </row>
    <row r="7" spans="1:6" x14ac:dyDescent="0.25">
      <c r="A7" s="1">
        <v>4</v>
      </c>
      <c r="B7" s="1" t="s">
        <v>206</v>
      </c>
      <c r="C7" s="1" t="s">
        <v>167</v>
      </c>
      <c r="D7" s="6" t="s">
        <v>260</v>
      </c>
      <c r="F7" s="6" t="s">
        <v>261</v>
      </c>
    </row>
    <row r="8" spans="1:6" x14ac:dyDescent="0.25">
      <c r="A8" s="1">
        <v>5</v>
      </c>
      <c r="B8" s="1" t="s">
        <v>206</v>
      </c>
      <c r="C8" s="1" t="s">
        <v>169</v>
      </c>
      <c r="D8" s="6" t="s">
        <v>270</v>
      </c>
      <c r="F8" s="6" t="s">
        <v>271</v>
      </c>
    </row>
    <row r="9" spans="1:6" x14ac:dyDescent="0.25">
      <c r="A9" s="1">
        <v>6</v>
      </c>
      <c r="B9" s="1" t="s">
        <v>206</v>
      </c>
      <c r="C9" s="1" t="s">
        <v>272</v>
      </c>
      <c r="D9" s="6" t="s">
        <v>273</v>
      </c>
      <c r="F9" s="6" t="s">
        <v>274</v>
      </c>
    </row>
    <row r="10" spans="1:6" x14ac:dyDescent="0.25">
      <c r="A10" s="1">
        <v>7</v>
      </c>
      <c r="B10" s="1" t="s">
        <v>206</v>
      </c>
      <c r="C10" s="1" t="s">
        <v>170</v>
      </c>
      <c r="D10" s="6" t="s">
        <v>275</v>
      </c>
      <c r="F10" s="6" t="s">
        <v>276</v>
      </c>
    </row>
    <row r="11" spans="1:6" x14ac:dyDescent="0.25">
      <c r="A11" s="1">
        <v>8</v>
      </c>
      <c r="B11" s="1" t="s">
        <v>283</v>
      </c>
      <c r="C11" s="1" t="s">
        <v>167</v>
      </c>
      <c r="D11" t="s">
        <v>296</v>
      </c>
      <c r="F11" t="s">
        <v>297</v>
      </c>
    </row>
    <row r="12" spans="1:6" x14ac:dyDescent="0.25">
      <c r="A12" s="1">
        <v>9</v>
      </c>
      <c r="B12" s="1" t="s">
        <v>298</v>
      </c>
      <c r="C12" s="1" t="s">
        <v>170</v>
      </c>
      <c r="D12" t="s">
        <v>299</v>
      </c>
      <c r="F12" t="s">
        <v>300</v>
      </c>
    </row>
    <row r="13" spans="1:6" x14ac:dyDescent="0.25">
      <c r="A13" s="1">
        <v>10</v>
      </c>
      <c r="B13" s="1" t="s">
        <v>298</v>
      </c>
      <c r="C13" s="1" t="s">
        <v>169</v>
      </c>
      <c r="D13" t="s">
        <v>301</v>
      </c>
      <c r="F13" s="9" t="s">
        <v>302</v>
      </c>
    </row>
    <row r="14" spans="1:6" x14ac:dyDescent="0.25">
      <c r="A14" s="1">
        <v>11</v>
      </c>
      <c r="B14" s="1" t="s">
        <v>298</v>
      </c>
      <c r="C14" s="1" t="s">
        <v>272</v>
      </c>
      <c r="D14" s="6" t="s">
        <v>303</v>
      </c>
      <c r="F14" s="6" t="s">
        <v>304</v>
      </c>
    </row>
    <row r="15" spans="1:6" x14ac:dyDescent="0.25">
      <c r="A15" s="1">
        <v>12</v>
      </c>
      <c r="B15" s="1" t="s">
        <v>298</v>
      </c>
      <c r="C15" s="1" t="s">
        <v>174</v>
      </c>
      <c r="D15" s="6" t="s">
        <v>305</v>
      </c>
      <c r="F15" s="6" t="s">
        <v>306</v>
      </c>
    </row>
    <row r="16" spans="1:6" x14ac:dyDescent="0.25">
      <c r="A16" s="1">
        <v>13</v>
      </c>
      <c r="B16" s="1" t="s">
        <v>298</v>
      </c>
      <c r="C16" s="1" t="s">
        <v>168</v>
      </c>
      <c r="D16" s="6" t="s">
        <v>307</v>
      </c>
      <c r="F16" s="6" t="s">
        <v>308</v>
      </c>
    </row>
    <row r="17" spans="1:6" x14ac:dyDescent="0.25">
      <c r="A17" s="1">
        <v>14</v>
      </c>
      <c r="B17" s="1" t="s">
        <v>298</v>
      </c>
      <c r="C17" s="1" t="s">
        <v>171</v>
      </c>
      <c r="D17" s="6" t="s">
        <v>309</v>
      </c>
      <c r="F17" s="6" t="s">
        <v>310</v>
      </c>
    </row>
    <row r="18" spans="1:6" x14ac:dyDescent="0.25">
      <c r="A18" s="1">
        <v>15</v>
      </c>
      <c r="B18" s="1" t="s">
        <v>298</v>
      </c>
      <c r="C18" s="1" t="s">
        <v>172</v>
      </c>
      <c r="D18" s="6" t="s">
        <v>311</v>
      </c>
      <c r="F18" s="6" t="s">
        <v>312</v>
      </c>
    </row>
    <row r="19" spans="1:6" x14ac:dyDescent="0.25">
      <c r="A19" s="1">
        <v>16</v>
      </c>
      <c r="B19" s="1" t="s">
        <v>298</v>
      </c>
      <c r="C19" s="1" t="s">
        <v>173</v>
      </c>
      <c r="D19" s="6" t="s">
        <v>313</v>
      </c>
      <c r="F19" s="6" t="s">
        <v>314</v>
      </c>
    </row>
    <row r="20" spans="1:6" x14ac:dyDescent="0.25">
      <c r="A20" s="1">
        <v>17</v>
      </c>
      <c r="B20" s="1" t="s">
        <v>298</v>
      </c>
      <c r="C20" s="1" t="s">
        <v>175</v>
      </c>
      <c r="D20" s="6" t="s">
        <v>315</v>
      </c>
      <c r="F20" s="6" t="s">
        <v>316</v>
      </c>
    </row>
  </sheetData>
  <dataValidations count="1">
    <dataValidation type="list" allowBlank="1" showInputMessage="1" showErrorMessage="1" sqref="C4:C20" xr:uid="{F7DB9FA3-232F-0941-8895-B873BFECEB09}">
      <formula1>Avionics_Type</formula1>
    </dataValidation>
  </dataValidations>
  <pageMargins left="0.7" right="0.7" top="0.75" bottom="0.75" header="0.3" footer="0.3"/>
  <pageSetup orientation="portrait" horizontalDpi="0" verticalDpi="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16813-0790-7D46-908B-8AAC76593AF1}">
  <dimension ref="A1:G20"/>
  <sheetViews>
    <sheetView topLeftCell="A5" workbookViewId="0">
      <selection activeCell="A21" sqref="A21"/>
    </sheetView>
  </sheetViews>
  <sheetFormatPr baseColWidth="10" defaultColWidth="25.6640625" defaultRowHeight="19" x14ac:dyDescent="0.25"/>
  <cols>
    <col min="1" max="1" width="33.33203125" style="1" customWidth="1"/>
    <col min="2" max="3" width="25.6640625" style="1"/>
    <col min="4" max="4" width="34" style="1" customWidth="1"/>
    <col min="5" max="5" width="42.1640625" style="1" customWidth="1"/>
    <col min="6" max="6" width="34.5" style="1" customWidth="1"/>
    <col min="7" max="16384" width="25.6640625" style="1"/>
  </cols>
  <sheetData>
    <row r="1" spans="1:7" x14ac:dyDescent="0.25">
      <c r="A1" s="1" t="s">
        <v>163</v>
      </c>
    </row>
    <row r="3" spans="1:7" x14ac:dyDescent="0.25">
      <c r="A3" s="1" t="s">
        <v>164</v>
      </c>
      <c r="B3" s="1" t="s">
        <v>154</v>
      </c>
      <c r="C3" s="1" t="s">
        <v>158</v>
      </c>
      <c r="D3" s="1" t="s">
        <v>155</v>
      </c>
      <c r="E3" s="1" t="s">
        <v>179</v>
      </c>
      <c r="F3" s="1" t="s">
        <v>165</v>
      </c>
      <c r="G3" s="1" t="s">
        <v>38</v>
      </c>
    </row>
    <row r="4" spans="1:7" x14ac:dyDescent="0.25">
      <c r="A4" s="1">
        <v>1</v>
      </c>
      <c r="B4" s="1">
        <v>1</v>
      </c>
      <c r="C4" s="1">
        <v>1</v>
      </c>
      <c r="D4" s="1" t="str">
        <f>_xlfn.XLOOKUP(tblConfigurationAvionics[[#This Row],[Configuration ID]],tblAircraftConfigurations[Configuration ID],tblAircraftConfigurations[Configuration Name],"")</f>
        <v>777-200ER Standard Configuration</v>
      </c>
      <c r="E4" s="6" t="str">
        <f>_xlfn.XLOOKUP(tblConfigurationAvionics[[#This Row],[Avionics ID]],tblAvionics[Avionics ID],tblAvionics[System / Model],"")</f>
        <v>FlightFactor EFB</v>
      </c>
      <c r="F4" s="1" t="s">
        <v>178</v>
      </c>
    </row>
    <row r="5" spans="1:7" x14ac:dyDescent="0.25">
      <c r="A5" s="1">
        <v>2</v>
      </c>
      <c r="B5" s="1">
        <v>2</v>
      </c>
      <c r="C5" s="1">
        <v>2</v>
      </c>
      <c r="D5" s="1" t="str">
        <f>_xlfn.XLOOKUP(tblConfigurationAvionics[[#This Row],[Configuration ID]],tblAircraftConfigurations[Configuration ID],tblAircraftConfigurations[Configuration Name],"")</f>
        <v>SR20 G3 Perspective</v>
      </c>
      <c r="E5" s="1" t="str">
        <f>_xlfn.XLOOKUP(tblConfigurationAvionics[[#This Row],[Avionics ID]],tblAvionics[Avionics ID],tblAvionics[System / Model],"")</f>
        <v>Garmin Perspective</v>
      </c>
      <c r="F5" s="1" t="s">
        <v>223</v>
      </c>
      <c r="G5" s="6" t="s">
        <v>224</v>
      </c>
    </row>
    <row r="6" spans="1:7" x14ac:dyDescent="0.25">
      <c r="A6" s="1">
        <v>3</v>
      </c>
      <c r="B6" s="1">
        <v>3</v>
      </c>
      <c r="C6" s="1">
        <v>3</v>
      </c>
      <c r="D6" s="1" t="str">
        <f>_xlfn.XLOOKUP(tblConfigurationAvionics[[#This Row],[Configuration ID]],tblAircraftConfigurations[Configuration ID],tblAircraftConfigurations[Configuration Name],"")</f>
        <v>DA50 RG G1000</v>
      </c>
      <c r="E6" s="1" t="str">
        <f>_xlfn.XLOOKUP(tblConfigurationAvionics[[#This Row],[Avionics ID]],tblAvionics[Avionics ID],tblAvionics[System / Model],"")</f>
        <v>Garmin G1000 / X1000</v>
      </c>
      <c r="F6" s="1" t="s">
        <v>223</v>
      </c>
      <c r="G6" s="6" t="s">
        <v>249</v>
      </c>
    </row>
    <row r="7" spans="1:7" x14ac:dyDescent="0.25">
      <c r="A7" s="1">
        <v>4</v>
      </c>
      <c r="B7" s="1">
        <v>1</v>
      </c>
      <c r="C7" s="1">
        <v>4</v>
      </c>
      <c r="D7" s="1" t="str">
        <f>_xlfn.XLOOKUP(tblConfigurationAvionics[[#This Row],[Configuration ID]],tblAircraftConfigurations[Configuration ID],tblAircraftConfigurations[Configuration Name],"")</f>
        <v>777-200ER Standard Configuration</v>
      </c>
      <c r="E7" s="1" t="str">
        <f>_xlfn.XLOOKUP(tblConfigurationAvionics[[#This Row],[Avionics ID]],tblAvionics[Avionics ID],tblAvionics[System / Model],"")</f>
        <v>777 Flight Management System (FMS/FMC)</v>
      </c>
      <c r="F7" s="6" t="s">
        <v>262</v>
      </c>
      <c r="G7" s="6" t="s">
        <v>263</v>
      </c>
    </row>
    <row r="8" spans="1:7" x14ac:dyDescent="0.25">
      <c r="A8" s="1">
        <v>5</v>
      </c>
      <c r="B8" s="1">
        <v>1</v>
      </c>
      <c r="C8" s="1">
        <v>5</v>
      </c>
      <c r="D8" s="1" t="str">
        <f>_xlfn.XLOOKUP(tblConfigurationAvionics[[#This Row],[Configuration ID]],tblAircraftConfigurations[Configuration ID],tblAircraftConfigurations[Configuration Name],"")</f>
        <v>777-200ER Standard Configuration</v>
      </c>
      <c r="E8" s="1" t="str">
        <f>_xlfn.XLOOKUP(tblConfigurationAvionics[[#This Row],[Avionics ID]],tblAvionics[Avionics ID],tblAvionics[System / Model],"")</f>
        <v>777 Primary Flight &amp; Navigation Display System</v>
      </c>
      <c r="F8" s="6" t="s">
        <v>277</v>
      </c>
      <c r="G8" s="6" t="s">
        <v>280</v>
      </c>
    </row>
    <row r="9" spans="1:7" x14ac:dyDescent="0.25">
      <c r="A9" s="1">
        <v>6</v>
      </c>
      <c r="B9" s="1">
        <v>1</v>
      </c>
      <c r="C9" s="1">
        <v>6</v>
      </c>
      <c r="D9" s="1" t="str">
        <f>_xlfn.XLOOKUP(tblConfigurationAvionics[[#This Row],[Configuration ID]],tblAircraftConfigurations[Configuration ID],tblAircraftConfigurations[Configuration Name],"")</f>
        <v>777-200ER Standard Configuration</v>
      </c>
      <c r="E9" s="1" t="str">
        <f>_xlfn.XLOOKUP(tblConfigurationAvionics[[#This Row],[Avionics ID]],tblAvionics[Avionics ID],tblAvionics[System / Model],"")</f>
        <v>777 Center Multifunction Display System</v>
      </c>
      <c r="F9" s="6" t="s">
        <v>278</v>
      </c>
      <c r="G9" s="6" t="s">
        <v>281</v>
      </c>
    </row>
    <row r="10" spans="1:7" x14ac:dyDescent="0.25">
      <c r="A10" s="1">
        <v>7</v>
      </c>
      <c r="B10" s="1">
        <v>1</v>
      </c>
      <c r="C10" s="1">
        <v>7</v>
      </c>
      <c r="D10" s="1" t="str">
        <f>_xlfn.XLOOKUP(tblConfigurationAvionics[[#This Row],[Configuration ID]],tblAircraftConfigurations[Configuration ID],tblAircraftConfigurations[Configuration Name],"")</f>
        <v>777-200ER Standard Configuration</v>
      </c>
      <c r="E10" s="1" t="str">
        <f>_xlfn.XLOOKUP(tblConfigurationAvionics[[#This Row],[Avionics ID]],tblAvionics[Avionics ID],tblAvionics[System / Model],"")</f>
        <v>777 Autoflight / Flight Director System</v>
      </c>
      <c r="F10" s="1" t="s">
        <v>279</v>
      </c>
      <c r="G10" s="6" t="s">
        <v>282</v>
      </c>
    </row>
    <row r="11" spans="1:7" x14ac:dyDescent="0.25">
      <c r="A11" s="1">
        <v>8</v>
      </c>
      <c r="B11" s="1">
        <v>4</v>
      </c>
      <c r="C11" s="1">
        <v>8</v>
      </c>
      <c r="D11" s="1" t="str">
        <f>_xlfn.XLOOKUP(tblConfigurationAvionics[[#This Row],[Configuration ID]],tblAircraftConfigurations[Configuration ID],tblAircraftConfigurations[Configuration Name],"")</f>
        <v>A321-200 Standard Configuration</v>
      </c>
      <c r="E11" s="1" t="str">
        <f>_xlfn.XLOOKUP(tblConfigurationAvionics[[#This Row],[Avionics ID]],tblAvionics[Avionics ID],tblAvionics[System / Model],"")</f>
        <v>Airbus A321 Flight Management and Guidance System (FMGS)</v>
      </c>
      <c r="F11" s="1" t="s">
        <v>262</v>
      </c>
      <c r="G11" s="6" t="s">
        <v>317</v>
      </c>
    </row>
    <row r="12" spans="1:7" x14ac:dyDescent="0.25">
      <c r="A12" s="1">
        <v>9</v>
      </c>
      <c r="B12" s="1">
        <v>4</v>
      </c>
      <c r="C12" s="1">
        <v>9</v>
      </c>
      <c r="D12" s="1" t="str">
        <f>_xlfn.XLOOKUP(tblConfigurationAvionics[[#This Row],[Configuration ID]],tblAircraftConfigurations[Configuration ID],tblAircraftConfigurations[Configuration Name],"")</f>
        <v>A321-200 Standard Configuration</v>
      </c>
      <c r="E12" s="1" t="str">
        <f>_xlfn.XLOOKUP(tblConfigurationAvionics[[#This Row],[Avionics ID]],tblAvionics[Avionics ID],tblAvionics[System / Model],"")</f>
        <v>Airbus A321 Autopilot / Flight Director System</v>
      </c>
      <c r="F12" s="1" t="s">
        <v>318</v>
      </c>
      <c r="G12" s="6" t="s">
        <v>319</v>
      </c>
    </row>
    <row r="13" spans="1:7" x14ac:dyDescent="0.25">
      <c r="A13" s="1">
        <v>10</v>
      </c>
      <c r="B13" s="1">
        <v>4</v>
      </c>
      <c r="C13" s="1">
        <v>10</v>
      </c>
      <c r="D13" s="1" t="str">
        <f>_xlfn.XLOOKUP(tblConfigurationAvionics[[#This Row],[Configuration ID]],tblAircraftConfigurations[Configuration ID],tblAircraftConfigurations[Configuration Name],"")</f>
        <v>A321-200 Standard Configuration</v>
      </c>
      <c r="E13" s="1" t="str">
        <f>_xlfn.XLOOKUP(tblConfigurationAvionics[[#This Row],[Avionics ID]],tblAvionics[Avionics ID],tblAvionics[System / Model],"")</f>
        <v>Airbus A321 Primary Flight / Navigation Display System</v>
      </c>
      <c r="F13" s="6" t="s">
        <v>320</v>
      </c>
      <c r="G13" s="6" t="s">
        <v>321</v>
      </c>
    </row>
    <row r="14" spans="1:7" x14ac:dyDescent="0.25">
      <c r="A14" s="1">
        <v>11</v>
      </c>
      <c r="B14" s="1">
        <v>4</v>
      </c>
      <c r="C14" s="1">
        <v>11</v>
      </c>
      <c r="D14" s="1" t="str">
        <f>_xlfn.XLOOKUP(tblConfigurationAvionics[[#This Row],[Configuration ID]],tblAircraftConfigurations[Configuration ID],tblAircraftConfigurations[Configuration Name],"")</f>
        <v>A321-200 Standard Configuration</v>
      </c>
      <c r="E14" s="1" t="str">
        <f>_xlfn.XLOOKUP(tblConfigurationAvionics[[#This Row],[Avionics ID]],tblAvionics[Avionics ID],tblAvionics[System / Model],"")</f>
        <v>Airbus A321 ECAM Engine Warning / System Display System</v>
      </c>
      <c r="F14" s="6" t="s">
        <v>322</v>
      </c>
      <c r="G14" s="6" t="s">
        <v>323</v>
      </c>
    </row>
    <row r="15" spans="1:7" x14ac:dyDescent="0.25">
      <c r="A15" s="1">
        <v>12</v>
      </c>
      <c r="B15" s="1">
        <v>4</v>
      </c>
      <c r="C15" s="1">
        <v>12</v>
      </c>
      <c r="D15" s="1" t="str">
        <f>_xlfn.XLOOKUP(tblConfigurationAvionics[[#This Row],[Configuration ID]],tblAircraftConfigurations[Configuration ID],tblAircraftConfigurations[Configuration Name],"")</f>
        <v>A321-200 Standard Configuration</v>
      </c>
      <c r="E15" s="1" t="str">
        <f>_xlfn.XLOOKUP(tblConfigurationAvionics[[#This Row],[Avionics ID]],tblAvionics[Avionics ID],tblAvionics[System / Model],"")</f>
        <v>Airbus A321 ACARS / CPDLC System</v>
      </c>
      <c r="F15" s="6" t="s">
        <v>324</v>
      </c>
      <c r="G15" s="6" t="s">
        <v>325</v>
      </c>
    </row>
    <row r="16" spans="1:7" x14ac:dyDescent="0.25">
      <c r="A16" s="1">
        <v>13</v>
      </c>
      <c r="B16" s="1">
        <v>4</v>
      </c>
      <c r="C16" s="1">
        <v>13</v>
      </c>
      <c r="D16" s="1" t="str">
        <f>_xlfn.XLOOKUP(tblConfigurationAvionics[[#This Row],[Configuration ID]],tblAircraftConfigurations[Configuration ID],tblAircraftConfigurations[Configuration Name],"")</f>
        <v>A321-200 Standard Configuration</v>
      </c>
      <c r="E16" s="1" t="str">
        <f>_xlfn.XLOOKUP(tblConfigurationAvionics[[#This Row],[Avionics ID]],tblAvionics[Avionics ID],tblAvionics[System / Model],"")</f>
        <v>ToLiss A321 Electronic Flight Bag (EFB)</v>
      </c>
      <c r="F16" s="6" t="s">
        <v>326</v>
      </c>
      <c r="G16" s="6" t="s">
        <v>308</v>
      </c>
    </row>
    <row r="17" spans="1:7" x14ac:dyDescent="0.25">
      <c r="A17" s="1">
        <v>14</v>
      </c>
      <c r="B17" s="1">
        <v>4</v>
      </c>
      <c r="C17" s="1">
        <v>14</v>
      </c>
      <c r="D17" s="1" t="str">
        <f>_xlfn.XLOOKUP(tblConfigurationAvionics[[#This Row],[Configuration ID]],tblAircraftConfigurations[Configuration ID],tblAircraftConfigurations[Configuration Name],"")</f>
        <v>A321-200 Standard Configuration</v>
      </c>
      <c r="E17" s="1" t="str">
        <f>_xlfn.XLOOKUP(tblConfigurationAvionics[[#This Row],[Avionics ID]],tblAvionics[Avionics ID],tblAvionics[System / Model],"")</f>
        <v>Airbus A321 Weather Radar System</v>
      </c>
      <c r="F17" s="1" t="s">
        <v>327</v>
      </c>
      <c r="G17" s="6" t="s">
        <v>328</v>
      </c>
    </row>
    <row r="18" spans="1:7" x14ac:dyDescent="0.25">
      <c r="A18" s="1">
        <v>15</v>
      </c>
      <c r="B18" s="1">
        <v>4</v>
      </c>
      <c r="C18" s="1">
        <v>15</v>
      </c>
      <c r="D18" s="1" t="str">
        <f>_xlfn.XLOOKUP(tblConfigurationAvionics[[#This Row],[Configuration ID]],tblAircraftConfigurations[Configuration ID],tblAircraftConfigurations[Configuration Name],"")</f>
        <v>A321-200 Standard Configuration</v>
      </c>
      <c r="E18" s="1" t="str">
        <f>_xlfn.XLOOKUP(tblConfigurationAvionics[[#This Row],[Avionics ID]],tblAvionics[Avionics ID],tblAvionics[System / Model],"")</f>
        <v>Airbus A321 Traffic Alert and Collision Avoidance System (TCAS)</v>
      </c>
      <c r="F18" s="6" t="s">
        <v>329</v>
      </c>
      <c r="G18" s="6" t="s">
        <v>330</v>
      </c>
    </row>
    <row r="19" spans="1:7" x14ac:dyDescent="0.25">
      <c r="A19" s="1">
        <v>16</v>
      </c>
      <c r="B19" s="1">
        <v>4</v>
      </c>
      <c r="C19" s="1">
        <v>16</v>
      </c>
      <c r="D19" s="1" t="str">
        <f>_xlfn.XLOOKUP(tblConfigurationAvionics[[#This Row],[Configuration ID]],tblAircraftConfigurations[Configuration ID],tblAircraftConfigurations[Configuration Name],"")</f>
        <v>A321-200 Standard Configuration</v>
      </c>
      <c r="E19" s="1" t="str">
        <f>_xlfn.XLOOKUP(tblConfigurationAvionics[[#This Row],[Avionics ID]],tblAvionics[Avionics ID],tblAvionics[System / Model],"")</f>
        <v>Airbus A321 Terrain Awareness and Warning System (TAWS/EGPWS)</v>
      </c>
      <c r="F19" s="6" t="s">
        <v>331</v>
      </c>
      <c r="G19" s="6" t="s">
        <v>332</v>
      </c>
    </row>
    <row r="20" spans="1:7" x14ac:dyDescent="0.25">
      <c r="A20" s="1">
        <v>17</v>
      </c>
      <c r="B20" s="1">
        <v>4</v>
      </c>
      <c r="C20" s="1">
        <v>17</v>
      </c>
      <c r="D20" s="1" t="str">
        <f>_xlfn.XLOOKUP(tblConfigurationAvionics[[#This Row],[Configuration ID]],tblAircraftConfigurations[Configuration ID],tblAircraftConfigurations[Configuration Name],"")</f>
        <v>A321-200 Standard Configuration</v>
      </c>
      <c r="E20" s="1" t="str">
        <f>_xlfn.XLOOKUP(tblConfigurationAvionics[[#This Row],[Avionics ID]],tblAvionics[Avionics ID],tblAvionics[System / Model],"")</f>
        <v>Airbus A321 GPS / Navigation System</v>
      </c>
      <c r="F20" s="1" t="s">
        <v>333</v>
      </c>
      <c r="G20" s="6" t="s">
        <v>334</v>
      </c>
    </row>
  </sheetData>
  <phoneticPr fontId="14" type="noConversion"/>
  <dataValidations count="2">
    <dataValidation type="list" allowBlank="1" showInputMessage="1" showErrorMessage="1" sqref="B4:B20" xr:uid="{CF52D93B-BAF9-4045-BD22-235D634FB87E}">
      <formula1>Configuration_ID</formula1>
    </dataValidation>
    <dataValidation type="list" allowBlank="1" showInputMessage="1" showErrorMessage="1" sqref="C4:C20" xr:uid="{42FF9417-938E-1744-99FD-D6DA213BC4EA}">
      <formula1>Avionics_ID</formula1>
    </dataValidation>
  </dataValidations>
  <pageMargins left="0.7" right="0.7" top="0.75" bottom="0.75" header="0.3" footer="0.3"/>
  <pageSetup orientation="portrait" horizontalDpi="0" verticalDpi="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96E9-A113-6647-BB6C-700F0EDCD240}">
  <dimension ref="A1:P20"/>
  <sheetViews>
    <sheetView tabSelected="1" topLeftCell="G1" workbookViewId="0">
      <selection activeCell="P21" sqref="P21"/>
    </sheetView>
  </sheetViews>
  <sheetFormatPr baseColWidth="10" defaultColWidth="23.33203125" defaultRowHeight="15" x14ac:dyDescent="0.2"/>
  <cols>
    <col min="6" max="6" width="52.83203125" customWidth="1"/>
    <col min="9" max="9" width="34.33203125" customWidth="1"/>
  </cols>
  <sheetData>
    <row r="1" spans="1:16" x14ac:dyDescent="0.2">
      <c r="A1" t="s">
        <v>185</v>
      </c>
    </row>
    <row r="3" spans="1:16" ht="16" x14ac:dyDescent="0.25">
      <c r="A3" s="6" t="s">
        <v>180</v>
      </c>
      <c r="B3" s="6" t="s">
        <v>181</v>
      </c>
      <c r="C3" s="6" t="s">
        <v>154</v>
      </c>
      <c r="D3" s="6" t="s">
        <v>158</v>
      </c>
      <c r="E3" s="18" t="s">
        <v>27</v>
      </c>
      <c r="F3" s="6" t="s">
        <v>182</v>
      </c>
      <c r="G3" s="6" t="s">
        <v>183</v>
      </c>
      <c r="H3" s="6" t="s">
        <v>186</v>
      </c>
      <c r="I3" s="6" t="s">
        <v>187</v>
      </c>
      <c r="J3" s="6" t="s">
        <v>188</v>
      </c>
      <c r="K3" s="6" t="s">
        <v>189</v>
      </c>
      <c r="L3" s="6" t="s">
        <v>190</v>
      </c>
      <c r="M3" s="6" t="s">
        <v>191</v>
      </c>
      <c r="N3" s="6" t="s">
        <v>192</v>
      </c>
      <c r="O3" s="6" t="s">
        <v>184</v>
      </c>
      <c r="P3" s="6" t="s">
        <v>38</v>
      </c>
    </row>
    <row r="4" spans="1:16" ht="16" x14ac:dyDescent="0.25">
      <c r="A4">
        <v>1</v>
      </c>
      <c r="B4">
        <v>1</v>
      </c>
      <c r="C4">
        <f>_xlfn.XLOOKUP(B4,Configuration_Avionics!$A$4:$A$100,Configuration_Avionics!$B$4:$B$100,"")</f>
        <v>1</v>
      </c>
      <c r="D4" s="6">
        <f>_xlfn.XLOOKUP(B4,Configuration_Avionics!$A$4:$A$100,Configuration_Avionics!$C$4:$C$100,"")</f>
        <v>1</v>
      </c>
      <c r="E4" s="19">
        <f>_xlfn.XLOOKUP(C4,Aircraft_Configurations!$A$4:$A$100,Aircraft_Configurations!$D$4:$D$100,"")</f>
        <v>777</v>
      </c>
      <c r="F4" s="6" t="str">
        <f>_xlfn.XLOOKUP(D4,Avionics_DB!$A$4:$A$102,Avionics_DB!$D$4:$D$102,"")</f>
        <v>FlightFactor EFB</v>
      </c>
      <c r="G4" s="14">
        <v>46274</v>
      </c>
      <c r="H4">
        <v>25</v>
      </c>
      <c r="I4">
        <v>20</v>
      </c>
      <c r="J4">
        <v>15</v>
      </c>
      <c r="K4">
        <v>20</v>
      </c>
      <c r="L4">
        <v>8</v>
      </c>
      <c r="M4">
        <v>7</v>
      </c>
      <c r="N4">
        <v>5</v>
      </c>
      <c r="O4">
        <f t="shared" ref="O4:O5" si="0">IF(COUNT(H4:N5)=0,"",ROUND(SUM(H4:N4)/(IF(H4&lt;&gt;"",25,0)+IF(I4&lt;&gt;"",20,0)+IF(J4&lt;&gt;"",15,0)+IF(K4&lt;&gt;"",20,0)+IF(L4&lt;&gt;"",8,0)+IF(M4&lt;&gt;"",7,0)+IF(N4&lt;&gt;"",5,0))*100,0))</f>
        <v>100</v>
      </c>
      <c r="P4" t="s">
        <v>339</v>
      </c>
    </row>
    <row r="5" spans="1:16" x14ac:dyDescent="0.2">
      <c r="A5">
        <v>2</v>
      </c>
      <c r="B5">
        <v>2</v>
      </c>
      <c r="C5">
        <f>_xlfn.XLOOKUP(B5,Configuration_Avionics!$A$4:$A$100,Configuration_Avionics!$B$4:$B$100,"")</f>
        <v>2</v>
      </c>
      <c r="D5">
        <f>_xlfn.XLOOKUP(B5,Configuration_Avionics!$A$4:$A$100,Configuration_Avionics!$C$4:$C$100,"")</f>
        <v>2</v>
      </c>
      <c r="E5" s="19" t="str">
        <f>_xlfn.XLOOKUP(C5,Aircraft_Configurations!$A$4:$A$100,Aircraft_Configurations!$D$4:$D$100,"")</f>
        <v>SR20</v>
      </c>
      <c r="F5" t="str">
        <f>_xlfn.XLOOKUP(D5,Avionics_DB!$A$4:$A$102,Avionics_DB!$D$4:$D$102,"")</f>
        <v>Garmin Perspective</v>
      </c>
      <c r="G5" s="14">
        <v>46275</v>
      </c>
      <c r="H5">
        <v>24</v>
      </c>
      <c r="I5">
        <v>19</v>
      </c>
      <c r="J5">
        <v>14</v>
      </c>
      <c r="K5">
        <v>20</v>
      </c>
      <c r="L5">
        <v>8</v>
      </c>
      <c r="M5">
        <v>7</v>
      </c>
      <c r="N5">
        <v>5</v>
      </c>
      <c r="O5">
        <f t="shared" si="0"/>
        <v>97</v>
      </c>
      <c r="P5" t="s">
        <v>225</v>
      </c>
    </row>
    <row r="6" spans="1:16" x14ac:dyDescent="0.2">
      <c r="A6">
        <v>3</v>
      </c>
      <c r="B6">
        <v>3</v>
      </c>
      <c r="C6">
        <f>_xlfn.XLOOKUP(B6,Configuration_Avionics!$A$4:$A$100,Configuration_Avionics!$B$4:$B$100,"")</f>
        <v>3</v>
      </c>
      <c r="D6">
        <f>_xlfn.XLOOKUP(B6,Configuration_Avionics!$A$4:$A$100,Configuration_Avionics!$C$4:$C$100,"")</f>
        <v>3</v>
      </c>
      <c r="E6" s="19" t="str">
        <f>_xlfn.XLOOKUP(C6,Aircraft_Configurations!$A$4:$A$100,Aircraft_Configurations!$D$4:$D$100,"")</f>
        <v>DA50</v>
      </c>
      <c r="F6" t="str">
        <f>_xlfn.XLOOKUP(D6,Avionics_DB!$A$4:$A$102,Avionics_DB!$D$4:$D$102,"")</f>
        <v>Garmin G1000 / X1000</v>
      </c>
      <c r="G6" s="14">
        <v>46276</v>
      </c>
      <c r="H6">
        <v>25</v>
      </c>
      <c r="I6">
        <v>20</v>
      </c>
      <c r="J6">
        <v>15</v>
      </c>
      <c r="K6">
        <v>17</v>
      </c>
      <c r="L6">
        <v>8</v>
      </c>
      <c r="M6">
        <v>6</v>
      </c>
      <c r="N6">
        <v>4</v>
      </c>
      <c r="O6">
        <f>IF(COUNT(H6:N8)=0,"",ROUND(SUM(H6:N6)/(IF(H6&lt;&gt;"",25,0)+IF(I6&lt;&gt;"",20,0)+IF(J6&lt;&gt;"",15,0)+IF(K6&lt;&gt;"",20,0)+IF(L6&lt;&gt;"",8,0)+IF(M6&lt;&gt;"",7,0)+IF(N6&lt;&gt;"",5,0))*100,0))</f>
        <v>95</v>
      </c>
      <c r="P6" t="s">
        <v>256</v>
      </c>
    </row>
    <row r="7" spans="1:16" x14ac:dyDescent="0.2">
      <c r="A7">
        <v>4</v>
      </c>
      <c r="B7">
        <v>4</v>
      </c>
      <c r="C7">
        <f>_xlfn.XLOOKUP(B7,Configuration_Avionics!$A$4:$A$100,Configuration_Avionics!$B$4:$B$100,"")</f>
        <v>1</v>
      </c>
      <c r="D7">
        <f>_xlfn.XLOOKUP(B7,Configuration_Avionics!$A$4:$A$100,Configuration_Avionics!$C$4:$C$100,"")</f>
        <v>4</v>
      </c>
      <c r="E7" s="19">
        <f>_xlfn.XLOOKUP(C7,Aircraft_Configurations!$A$4:$A$100,Aircraft_Configurations!$D$4:$D$100,"")</f>
        <v>777</v>
      </c>
      <c r="F7" t="str">
        <f>_xlfn.XLOOKUP(D7,Avionics_DB!$A$4:$A$102,Avionics_DB!$D$4:$D$102,"")</f>
        <v>777 Flight Management System (FMS/FMC)</v>
      </c>
      <c r="G7" s="14">
        <v>46276</v>
      </c>
      <c r="H7">
        <v>25</v>
      </c>
      <c r="I7">
        <v>20</v>
      </c>
      <c r="J7">
        <v>15</v>
      </c>
      <c r="K7">
        <v>20</v>
      </c>
      <c r="L7">
        <v>8</v>
      </c>
      <c r="M7">
        <v>7</v>
      </c>
      <c r="N7">
        <v>5</v>
      </c>
      <c r="O7">
        <f>IF(COUNT(H7:N10)=0,"",ROUND(SUM(H7:N7)/(IF(H7&lt;&gt;"",25,0)+IF(I7&lt;&gt;"",20,0)+IF(J7&lt;&gt;"",15,0)+IF(K7&lt;&gt;"",20,0)+IF(L7&lt;&gt;"",8,0)+IF(M7&lt;&gt;"",7,0)+IF(N7&lt;&gt;"",5,0))*100,0))</f>
        <v>100</v>
      </c>
      <c r="P7" t="s">
        <v>335</v>
      </c>
    </row>
    <row r="8" spans="1:16" x14ac:dyDescent="0.2">
      <c r="A8">
        <v>5</v>
      </c>
      <c r="B8">
        <v>5</v>
      </c>
      <c r="C8">
        <f>_xlfn.XLOOKUP(B8,Configuration_Avionics!$A$4:$A$100,Configuration_Avionics!$B$4:$B$100,"")</f>
        <v>1</v>
      </c>
      <c r="D8">
        <f>_xlfn.XLOOKUP(B8,Configuration_Avionics!$A$4:$A$100,Configuration_Avionics!$C$4:$C$100,"")</f>
        <v>5</v>
      </c>
      <c r="E8" s="19">
        <f>_xlfn.XLOOKUP(C8,Aircraft_Configurations!$A$4:$A$100,Aircraft_Configurations!$D$4:$D$100,"")</f>
        <v>777</v>
      </c>
      <c r="F8" t="str">
        <f>_xlfn.XLOOKUP(D8,Avionics_DB!$A$4:$A$102,Avionics_DB!$D$4:$D$102,"")</f>
        <v>777 Primary Flight &amp; Navigation Display System</v>
      </c>
      <c r="G8" s="14">
        <v>46276</v>
      </c>
      <c r="H8">
        <v>25</v>
      </c>
      <c r="I8">
        <v>20</v>
      </c>
      <c r="J8">
        <v>15</v>
      </c>
      <c r="K8">
        <v>20</v>
      </c>
      <c r="L8">
        <v>8</v>
      </c>
      <c r="M8">
        <v>7</v>
      </c>
      <c r="N8">
        <v>5</v>
      </c>
      <c r="O8">
        <f>IF(COUNT(H8:N12)=0,"",ROUND(SUM(H8:N8)/(IF(H8&lt;&gt;"",25,0)+IF(I8&lt;&gt;"",20,0)+IF(J8&lt;&gt;"",15,0)+IF(K8&lt;&gt;"",20,0)+IF(L8&lt;&gt;"",8,0)+IF(M8&lt;&gt;"",7,0)+IF(N8&lt;&gt;"",5,0))*100,0))</f>
        <v>100</v>
      </c>
      <c r="P8" t="s">
        <v>336</v>
      </c>
    </row>
    <row r="9" spans="1:16" x14ac:dyDescent="0.2">
      <c r="A9">
        <v>6</v>
      </c>
      <c r="B9">
        <v>6</v>
      </c>
      <c r="C9">
        <f>_xlfn.XLOOKUP(B9,Configuration_Avionics!$A$4:$A$100,Configuration_Avionics!$B$4:$B$100,"")</f>
        <v>1</v>
      </c>
      <c r="D9">
        <f>_xlfn.XLOOKUP(B9,Configuration_Avionics!$A$4:$A$100,Configuration_Avionics!$C$4:$C$100,"")</f>
        <v>6</v>
      </c>
      <c r="E9" s="19">
        <f>_xlfn.XLOOKUP(C9,Aircraft_Configurations!$A$4:$A$100,Aircraft_Configurations!$D$4:$D$100,"")</f>
        <v>777</v>
      </c>
      <c r="F9" t="str">
        <f>_xlfn.XLOOKUP(D9,Avionics_DB!$A$4:$A$102,Avionics_DB!$D$4:$D$102,"")</f>
        <v>777 Center Multifunction Display System</v>
      </c>
      <c r="G9" s="14">
        <v>46276</v>
      </c>
      <c r="H9">
        <v>25</v>
      </c>
      <c r="I9">
        <v>20</v>
      </c>
      <c r="J9">
        <v>15</v>
      </c>
      <c r="K9">
        <v>20</v>
      </c>
      <c r="L9">
        <v>8</v>
      </c>
      <c r="M9">
        <v>7</v>
      </c>
      <c r="N9">
        <v>5</v>
      </c>
      <c r="O9">
        <f>IF(COUNT(H9:N14)=0,"",ROUND(SUM(H9:N9)/(IF(H9&lt;&gt;"",25,0)+IF(I9&lt;&gt;"",20,0)+IF(J9&lt;&gt;"",15,0)+IF(K9&lt;&gt;"",20,0)+IF(L9&lt;&gt;"",8,0)+IF(M9&lt;&gt;"",7,0)+IF(N9&lt;&gt;"",5,0))*100,0))</f>
        <v>100</v>
      </c>
      <c r="P9" t="s">
        <v>337</v>
      </c>
    </row>
    <row r="10" spans="1:16" x14ac:dyDescent="0.2">
      <c r="A10">
        <v>7</v>
      </c>
      <c r="B10">
        <v>7</v>
      </c>
      <c r="C10">
        <f>_xlfn.XLOOKUP(B10,Configuration_Avionics!$A$4:$A$100,Configuration_Avionics!$B$4:$B$100,"")</f>
        <v>1</v>
      </c>
      <c r="D10">
        <f>_xlfn.XLOOKUP(B10,Configuration_Avionics!$A$4:$A$100,Configuration_Avionics!$C$4:$C$100,"")</f>
        <v>7</v>
      </c>
      <c r="E10" s="19">
        <f>_xlfn.XLOOKUP(C10,Aircraft_Configurations!$A$4:$A$100,Aircraft_Configurations!$D$4:$D$100,"")</f>
        <v>777</v>
      </c>
      <c r="F10" t="str">
        <f>_xlfn.XLOOKUP(D10,Avionics_DB!$A$4:$A$102,Avionics_DB!$D$4:$D$102,"")</f>
        <v>777 Autoflight / Flight Director System</v>
      </c>
      <c r="G10" s="14">
        <v>46276</v>
      </c>
      <c r="H10">
        <v>25</v>
      </c>
      <c r="I10">
        <v>20</v>
      </c>
      <c r="J10">
        <v>15</v>
      </c>
      <c r="K10">
        <v>20</v>
      </c>
      <c r="L10">
        <v>8</v>
      </c>
      <c r="M10">
        <v>7</v>
      </c>
      <c r="N10">
        <v>5</v>
      </c>
      <c r="O10">
        <f>IF(COUNT(H10:N16)=0,"",ROUND(SUM(H10:N10)/(IF(H10&lt;&gt;"",25,0)+IF(I10&lt;&gt;"",20,0)+IF(J10&lt;&gt;"",15,0)+IF(K10&lt;&gt;"",20,0)+IF(L10&lt;&gt;"",8,0)+IF(M10&lt;&gt;"",7,0)+IF(N10&lt;&gt;"",5,0))*100,0))</f>
        <v>100</v>
      </c>
      <c r="P10" t="s">
        <v>338</v>
      </c>
    </row>
    <row r="11" spans="1:16" x14ac:dyDescent="0.2">
      <c r="A11">
        <v>8</v>
      </c>
      <c r="B11">
        <v>8</v>
      </c>
      <c r="C11">
        <f>_xlfn.XLOOKUP(B11,Configuration_Avionics!$A$4:$A$100,Configuration_Avionics!$B$4:$B$100,"")</f>
        <v>4</v>
      </c>
      <c r="D11">
        <f>_xlfn.XLOOKUP(B11,Configuration_Avionics!$A$4:$A$100,Configuration_Avionics!$C$4:$C$100,"")</f>
        <v>8</v>
      </c>
      <c r="E11" s="19" t="str">
        <f>_xlfn.XLOOKUP(C11,Aircraft_Configurations!$A$4:$A$100,Aircraft_Configurations!$D$4:$D$100,"")</f>
        <v>A321</v>
      </c>
      <c r="F11" t="str">
        <f>_xlfn.XLOOKUP(D11,Avionics_DB!$A$4:$A$102,Avionics_DB!$D$4:$D$102,"")</f>
        <v>Airbus A321 Flight Management and Guidance System (FMGS)</v>
      </c>
      <c r="G11" s="14">
        <v>46281</v>
      </c>
      <c r="H11">
        <v>25</v>
      </c>
      <c r="I11">
        <v>20</v>
      </c>
      <c r="J11">
        <v>15</v>
      </c>
      <c r="K11">
        <v>20</v>
      </c>
      <c r="L11">
        <v>8</v>
      </c>
      <c r="M11">
        <v>7</v>
      </c>
      <c r="N11">
        <v>5</v>
      </c>
      <c r="O11">
        <f>IF(COUNT(H11:N18)=0,"",ROUND(SUM(H11:N11)/(IF(H11&lt;&gt;"",25,0)+IF(I11&lt;&gt;"",20,0)+IF(J11&lt;&gt;"",15,0)+IF(K11&lt;&gt;"",20,0)+IF(L11&lt;&gt;"",8,0)+IF(M11&lt;&gt;"",7,0)+IF(N11&lt;&gt;"",5,0))*100,0))</f>
        <v>100</v>
      </c>
      <c r="P11" t="s">
        <v>340</v>
      </c>
    </row>
    <row r="12" spans="1:16" x14ac:dyDescent="0.2">
      <c r="A12">
        <v>9</v>
      </c>
      <c r="B12">
        <v>9</v>
      </c>
      <c r="C12">
        <f>_xlfn.XLOOKUP(B12,Configuration_Avionics!$A$4:$A$100,Configuration_Avionics!$B$4:$B$100,"")</f>
        <v>4</v>
      </c>
      <c r="D12">
        <f>_xlfn.XLOOKUP(B12,Configuration_Avionics!$A$4:$A$100,Configuration_Avionics!$C$4:$C$100,"")</f>
        <v>9</v>
      </c>
      <c r="E12" s="19" t="str">
        <f>_xlfn.XLOOKUP(C12,Aircraft_Configurations!$A$4:$A$100,Aircraft_Configurations!$D$4:$D$100,"")</f>
        <v>A321</v>
      </c>
      <c r="F12" t="str">
        <f>_xlfn.XLOOKUP(D12,Avionics_DB!$A$4:$A$102,Avionics_DB!$D$4:$D$102,"")</f>
        <v>Airbus A321 Autopilot / Flight Director System</v>
      </c>
      <c r="G12" s="14">
        <v>46281</v>
      </c>
      <c r="H12">
        <v>25</v>
      </c>
      <c r="I12">
        <v>20</v>
      </c>
      <c r="J12">
        <v>15</v>
      </c>
      <c r="K12">
        <v>20</v>
      </c>
      <c r="L12">
        <v>8</v>
      </c>
      <c r="M12">
        <v>7</v>
      </c>
      <c r="N12">
        <v>5</v>
      </c>
      <c r="O12">
        <f>IF(COUNT(H12:N20)=0,"",ROUND(SUM(H12:N12)/(IF(H12&lt;&gt;"",25,0)+IF(I12&lt;&gt;"",20,0)+IF(J12&lt;&gt;"",15,0)+IF(K12&lt;&gt;"",20,0)+IF(L12&lt;&gt;"",8,0)+IF(M12&lt;&gt;"",7,0)+IF(N12&lt;&gt;"",5,0))*100,0))</f>
        <v>100</v>
      </c>
      <c r="P12" t="s">
        <v>341</v>
      </c>
    </row>
    <row r="13" spans="1:16" x14ac:dyDescent="0.2">
      <c r="A13">
        <v>10</v>
      </c>
      <c r="B13">
        <v>10</v>
      </c>
      <c r="C13">
        <f>_xlfn.XLOOKUP(B13,Configuration_Avionics!$A$4:$A$100,Configuration_Avionics!$B$4:$B$100,"")</f>
        <v>4</v>
      </c>
      <c r="D13">
        <f>_xlfn.XLOOKUP(B13,Configuration_Avionics!$A$4:$A$100,Configuration_Avionics!$C$4:$C$100,"")</f>
        <v>10</v>
      </c>
      <c r="E13" s="19" t="str">
        <f>_xlfn.XLOOKUP(C13,Aircraft_Configurations!$A$4:$A$100,Aircraft_Configurations!$D$4:$D$100,"")</f>
        <v>A321</v>
      </c>
      <c r="F13" t="str">
        <f>_xlfn.XLOOKUP(D13,Avionics_DB!$A$4:$A$102,Avionics_DB!$D$4:$D$102,"")</f>
        <v>Airbus A321 Primary Flight / Navigation Display System</v>
      </c>
      <c r="G13" s="14">
        <v>46281</v>
      </c>
      <c r="H13">
        <v>25</v>
      </c>
      <c r="I13">
        <v>20</v>
      </c>
      <c r="J13">
        <v>15</v>
      </c>
      <c r="K13">
        <v>20</v>
      </c>
      <c r="L13">
        <v>8</v>
      </c>
      <c r="M13">
        <v>7</v>
      </c>
      <c r="N13">
        <v>5</v>
      </c>
      <c r="O13">
        <f>IF(COUNT(H13:N22)=0,"",ROUND(SUM(H13:N13)/(IF(H13&lt;&gt;"",25,0)+IF(I13&lt;&gt;"",20,0)+IF(J13&lt;&gt;"",15,0)+IF(K13&lt;&gt;"",20,0)+IF(L13&lt;&gt;"",8,0)+IF(M13&lt;&gt;"",7,0)+IF(N13&lt;&gt;"",5,0))*100,0))</f>
        <v>100</v>
      </c>
      <c r="P13" t="s">
        <v>342</v>
      </c>
    </row>
    <row r="14" spans="1:16" x14ac:dyDescent="0.2">
      <c r="A14">
        <v>11</v>
      </c>
      <c r="B14">
        <v>11</v>
      </c>
      <c r="C14">
        <f>_xlfn.XLOOKUP(B14,Configuration_Avionics!$A$4:$A$100,Configuration_Avionics!$B$4:$B$100,"")</f>
        <v>4</v>
      </c>
      <c r="D14">
        <f>_xlfn.XLOOKUP(B14,Configuration_Avionics!$A$4:$A$100,Configuration_Avionics!$C$4:$C$100,"")</f>
        <v>11</v>
      </c>
      <c r="E14" s="19" t="str">
        <f>_xlfn.XLOOKUP(C14,Aircraft_Configurations!$A$4:$A$100,Aircraft_Configurations!$D$4:$D$100,"")</f>
        <v>A321</v>
      </c>
      <c r="F14" t="str">
        <f>_xlfn.XLOOKUP(D14,Avionics_DB!$A$4:$A$102,Avionics_DB!$D$4:$D$102,"")</f>
        <v>Airbus A321 ECAM Engine Warning / System Display System</v>
      </c>
      <c r="G14" s="14">
        <v>46281</v>
      </c>
      <c r="H14">
        <v>25</v>
      </c>
      <c r="I14">
        <v>20</v>
      </c>
      <c r="J14">
        <v>15</v>
      </c>
      <c r="K14">
        <v>20</v>
      </c>
      <c r="L14">
        <v>8</v>
      </c>
      <c r="M14">
        <v>7</v>
      </c>
      <c r="N14">
        <v>5</v>
      </c>
      <c r="O14">
        <f>IF(COUNT(H14:N24)=0,"",ROUND(SUM(H14:N14)/(IF(H14&lt;&gt;"",25,0)+IF(I14&lt;&gt;"",20,0)+IF(J14&lt;&gt;"",15,0)+IF(K14&lt;&gt;"",20,0)+IF(L14&lt;&gt;"",8,0)+IF(M14&lt;&gt;"",7,0)+IF(N14&lt;&gt;"",5,0))*100,0))</f>
        <v>100</v>
      </c>
      <c r="P14" t="s">
        <v>343</v>
      </c>
    </row>
    <row r="15" spans="1:16" x14ac:dyDescent="0.2">
      <c r="A15">
        <v>12</v>
      </c>
      <c r="B15">
        <v>12</v>
      </c>
      <c r="C15">
        <f>_xlfn.XLOOKUP(B15,Configuration_Avionics!$A$4:$A$100,Configuration_Avionics!$B$4:$B$100,"")</f>
        <v>4</v>
      </c>
      <c r="D15">
        <f>_xlfn.XLOOKUP(B15,Configuration_Avionics!$A$4:$A$100,Configuration_Avionics!$C$4:$C$100,"")</f>
        <v>12</v>
      </c>
      <c r="E15" s="19" t="str">
        <f>_xlfn.XLOOKUP(C15,Aircraft_Configurations!$A$4:$A$100,Aircraft_Configurations!$D$4:$D$100,"")</f>
        <v>A321</v>
      </c>
      <c r="F15" t="str">
        <f>_xlfn.XLOOKUP(D15,Avionics_DB!$A$4:$A$102,Avionics_DB!$D$4:$D$102,"")</f>
        <v>Airbus A321 ACARS / CPDLC System</v>
      </c>
      <c r="G15" s="14">
        <v>46281</v>
      </c>
      <c r="H15">
        <v>25</v>
      </c>
      <c r="I15">
        <v>20</v>
      </c>
      <c r="J15">
        <v>15</v>
      </c>
      <c r="K15">
        <v>20</v>
      </c>
      <c r="L15">
        <v>8</v>
      </c>
      <c r="M15">
        <v>7</v>
      </c>
      <c r="N15">
        <v>5</v>
      </c>
      <c r="O15">
        <f>IF(COUNT(H15:N26)=0,"",ROUND(SUM(H15:N15)/(IF(H15&lt;&gt;"",25,0)+IF(I15&lt;&gt;"",20,0)+IF(J15&lt;&gt;"",15,0)+IF(K15&lt;&gt;"",20,0)+IF(L15&lt;&gt;"",8,0)+IF(M15&lt;&gt;"",7,0)+IF(N15&lt;&gt;"",5,0))*100,0))</f>
        <v>100</v>
      </c>
      <c r="P15" t="s">
        <v>344</v>
      </c>
    </row>
    <row r="16" spans="1:16" x14ac:dyDescent="0.2">
      <c r="A16">
        <v>13</v>
      </c>
      <c r="B16">
        <v>13</v>
      </c>
      <c r="C16">
        <f>_xlfn.XLOOKUP(B16,Configuration_Avionics!$A$4:$A$100,Configuration_Avionics!$B$4:$B$100,"")</f>
        <v>4</v>
      </c>
      <c r="D16">
        <f>_xlfn.XLOOKUP(B16,Configuration_Avionics!$A$4:$A$100,Configuration_Avionics!$C$4:$C$100,"")</f>
        <v>13</v>
      </c>
      <c r="E16" s="19" t="str">
        <f>_xlfn.XLOOKUP(C16,Aircraft_Configurations!$A$4:$A$100,Aircraft_Configurations!$D$4:$D$100,"")</f>
        <v>A321</v>
      </c>
      <c r="F16" t="str">
        <f>_xlfn.XLOOKUP(D16,Avionics_DB!$A$4:$A$102,Avionics_DB!$D$4:$D$102,"")</f>
        <v>ToLiss A321 Electronic Flight Bag (EFB)</v>
      </c>
      <c r="G16" s="14">
        <v>46281</v>
      </c>
      <c r="H16">
        <v>25</v>
      </c>
      <c r="I16">
        <v>20</v>
      </c>
      <c r="J16">
        <v>15</v>
      </c>
      <c r="K16">
        <v>20</v>
      </c>
      <c r="L16">
        <v>7</v>
      </c>
      <c r="M16">
        <v>7</v>
      </c>
      <c r="N16">
        <v>5</v>
      </c>
      <c r="O16">
        <f>IF(COUNT(H16:N28)=0,"",ROUND(SUM(H16:N16)/(IF(H16&lt;&gt;"",25,0)+IF(I16&lt;&gt;"",20,0)+IF(J16&lt;&gt;"",15,0)+IF(K16&lt;&gt;"",20,0)+IF(L16&lt;&gt;"",8,0)+IF(M16&lt;&gt;"",7,0)+IF(N16&lt;&gt;"",5,0))*100,0))</f>
        <v>99</v>
      </c>
      <c r="P16" t="s">
        <v>345</v>
      </c>
    </row>
    <row r="17" spans="1:16" x14ac:dyDescent="0.2">
      <c r="A17">
        <v>14</v>
      </c>
      <c r="B17">
        <v>14</v>
      </c>
      <c r="C17">
        <f>_xlfn.XLOOKUP(B17,Configuration_Avionics!$A$4:$A$100,Configuration_Avionics!$B$4:$B$100,"")</f>
        <v>4</v>
      </c>
      <c r="D17">
        <f>_xlfn.XLOOKUP(B17,Configuration_Avionics!$A$4:$A$100,Configuration_Avionics!$C$4:$C$100,"")</f>
        <v>14</v>
      </c>
      <c r="E17" s="19" t="str">
        <f>_xlfn.XLOOKUP(C17,Aircraft_Configurations!$A$4:$A$100,Aircraft_Configurations!$D$4:$D$100,"")</f>
        <v>A321</v>
      </c>
      <c r="F17" t="str">
        <f>_xlfn.XLOOKUP(D17,Avionics_DB!$A$4:$A$102,Avionics_DB!$D$4:$D$102,"")</f>
        <v>Airbus A321 Weather Radar System</v>
      </c>
      <c r="G17" s="14">
        <v>46281</v>
      </c>
      <c r="H17">
        <v>25</v>
      </c>
      <c r="I17">
        <v>20</v>
      </c>
      <c r="J17">
        <v>15</v>
      </c>
      <c r="K17">
        <v>20</v>
      </c>
      <c r="L17">
        <v>6</v>
      </c>
      <c r="M17">
        <v>6</v>
      </c>
      <c r="N17">
        <v>4</v>
      </c>
      <c r="O17">
        <f>IF(COUNT(H17:N30)=0,"",ROUND(SUM(H17:N17)/(IF(H17&lt;&gt;"",25,0)+IF(I17&lt;&gt;"",20,0)+IF(J17&lt;&gt;"",15,0)+IF(K17&lt;&gt;"",20,0)+IF(L17&lt;&gt;"",8,0)+IF(M17&lt;&gt;"",7,0)+IF(N17&lt;&gt;"",5,0))*100,0))</f>
        <v>96</v>
      </c>
      <c r="P17" t="s">
        <v>346</v>
      </c>
    </row>
    <row r="18" spans="1:16" x14ac:dyDescent="0.2">
      <c r="A18">
        <v>15</v>
      </c>
      <c r="B18">
        <v>15</v>
      </c>
      <c r="C18">
        <f>_xlfn.XLOOKUP(B18,Configuration_Avionics!$A$4:$A$100,Configuration_Avionics!$B$4:$B$100,"")</f>
        <v>4</v>
      </c>
      <c r="D18">
        <f>_xlfn.XLOOKUP(B18,Configuration_Avionics!$A$4:$A$100,Configuration_Avionics!$C$4:$C$100,"")</f>
        <v>15</v>
      </c>
      <c r="E18" s="19" t="str">
        <f>_xlfn.XLOOKUP(C18,Aircraft_Configurations!$A$4:$A$100,Aircraft_Configurations!$D$4:$D$100,"")</f>
        <v>A321</v>
      </c>
      <c r="F18" t="str">
        <f>_xlfn.XLOOKUP(D18,Avionics_DB!$A$4:$A$102,Avionics_DB!$D$4:$D$102,"")</f>
        <v>Airbus A321 Traffic Alert and Collision Avoidance System (TCAS)</v>
      </c>
      <c r="G18" s="14">
        <v>46281</v>
      </c>
      <c r="H18">
        <v>25</v>
      </c>
      <c r="I18">
        <v>20</v>
      </c>
      <c r="J18">
        <v>15</v>
      </c>
      <c r="K18">
        <v>20</v>
      </c>
      <c r="L18">
        <v>8</v>
      </c>
      <c r="M18">
        <v>7</v>
      </c>
      <c r="N18">
        <v>5</v>
      </c>
      <c r="O18">
        <f>IF(COUNT(H18:N32)=0,"",ROUND(SUM(H18:N18)/(IF(H18&lt;&gt;"",25,0)+IF(I18&lt;&gt;"",20,0)+IF(J18&lt;&gt;"",15,0)+IF(K18&lt;&gt;"",20,0)+IF(L18&lt;&gt;"",8,0)+IF(M18&lt;&gt;"",7,0)+IF(N18&lt;&gt;"",5,0))*100,0))</f>
        <v>100</v>
      </c>
      <c r="P18" s="35"/>
    </row>
    <row r="19" spans="1:16" x14ac:dyDescent="0.2">
      <c r="A19">
        <v>16</v>
      </c>
      <c r="B19">
        <v>16</v>
      </c>
      <c r="C19">
        <f>_xlfn.XLOOKUP(B19,Configuration_Avionics!$A$4:$A$100,Configuration_Avionics!$B$4:$B$100,"")</f>
        <v>4</v>
      </c>
      <c r="D19">
        <f>_xlfn.XLOOKUP(B19,Configuration_Avionics!$A$4:$A$100,Configuration_Avionics!$C$4:$C$100,"")</f>
        <v>16</v>
      </c>
      <c r="E19" s="19" t="str">
        <f>_xlfn.XLOOKUP(C19,Aircraft_Configurations!$A$4:$A$100,Aircraft_Configurations!$D$4:$D$100,"")</f>
        <v>A321</v>
      </c>
      <c r="F19" t="str">
        <f>_xlfn.XLOOKUP(D19,Avionics_DB!$A$4:$A$102,Avionics_DB!$D$4:$D$102,"")</f>
        <v>Airbus A321 Terrain Awareness and Warning System (TAWS/EGPWS)</v>
      </c>
      <c r="G19" s="14">
        <v>46281</v>
      </c>
      <c r="H19">
        <v>24</v>
      </c>
      <c r="I19">
        <v>19</v>
      </c>
      <c r="J19">
        <v>14</v>
      </c>
      <c r="K19">
        <v>19</v>
      </c>
      <c r="L19">
        <v>8</v>
      </c>
      <c r="M19">
        <v>6</v>
      </c>
      <c r="N19">
        <v>4</v>
      </c>
      <c r="O19">
        <f>IF(COUNT(H19:N34)=0,"",ROUND(SUM(H19:N19)/(IF(H19&lt;&gt;"",25,0)+IF(I19&lt;&gt;"",20,0)+IF(J19&lt;&gt;"",15,0)+IF(K19&lt;&gt;"",20,0)+IF(L19&lt;&gt;"",8,0)+IF(M19&lt;&gt;"",7,0)+IF(N19&lt;&gt;"",5,0))*100,0))</f>
        <v>94</v>
      </c>
      <c r="P19" t="s">
        <v>347</v>
      </c>
    </row>
    <row r="20" spans="1:16" x14ac:dyDescent="0.2">
      <c r="A20">
        <v>17</v>
      </c>
      <c r="B20">
        <v>17</v>
      </c>
      <c r="C20">
        <f>_xlfn.XLOOKUP(B20,Configuration_Avionics!$A$4:$A$100,Configuration_Avionics!$B$4:$B$100,"")</f>
        <v>4</v>
      </c>
      <c r="D20">
        <f>_xlfn.XLOOKUP(B20,Configuration_Avionics!$A$4:$A$100,Configuration_Avionics!$C$4:$C$100,"")</f>
        <v>17</v>
      </c>
      <c r="E20" s="19" t="str">
        <f>_xlfn.XLOOKUP(C20,Aircraft_Configurations!$A$4:$A$100,Aircraft_Configurations!$D$4:$D$100,"")</f>
        <v>A321</v>
      </c>
      <c r="F20" t="str">
        <f>_xlfn.XLOOKUP(D20,Avionics_DB!$A$4:$A$102,Avionics_DB!$D$4:$D$102,"")</f>
        <v>Airbus A321 GPS / Navigation System</v>
      </c>
      <c r="G20" s="14">
        <v>46281</v>
      </c>
      <c r="H20">
        <v>25</v>
      </c>
      <c r="I20">
        <v>20</v>
      </c>
      <c r="J20">
        <v>15</v>
      </c>
      <c r="K20">
        <v>20</v>
      </c>
      <c r="L20">
        <v>8</v>
      </c>
      <c r="M20">
        <v>6</v>
      </c>
      <c r="N20">
        <v>4</v>
      </c>
      <c r="O20">
        <f>IF(COUNT(H20:N36)=0,"",ROUND(SUM(H20:N20)/(IF(H20&lt;&gt;"",25,0)+IF(I20&lt;&gt;"",20,0)+IF(J20&lt;&gt;"",15,0)+IF(K20&lt;&gt;"",20,0)+IF(L20&lt;&gt;"",8,0)+IF(M20&lt;&gt;"",7,0)+IF(N20&lt;&gt;"",5,0))*100,0))</f>
        <v>98</v>
      </c>
      <c r="P20" t="s">
        <v>348</v>
      </c>
    </row>
  </sheetData>
  <dataValidations count="8">
    <dataValidation type="list" allowBlank="1" showInputMessage="1" showErrorMessage="1" sqref="B4:B20" xr:uid="{2D2422A3-35DE-E843-A997-0AF106564ADC}">
      <formula1>Configuration_Avionics_ID</formula1>
    </dataValidation>
    <dataValidation type="whole" allowBlank="1" showInputMessage="1" showErrorMessage="1" errorTitle="Invalid Fidelity Score" error="Enter a whole number from 0 to 25, or leave the cell blank if this category is not applicable." promptTitle="Functional Fidelity — Max 25" prompt="Enter 0–25. Score how completely the simulated avionics reproduces the documented functions of the real system. Leave blank if genuinely N/A." sqref="H4:H20" xr:uid="{8437F8C9-A136-9B42-BECD-B9DC44B491BF}">
      <formula1>0</formula1>
      <formula2>25</formula2>
    </dataValidation>
    <dataValidation type="whole" allowBlank="1" showInputMessage="1" showErrorMessage="1" errorTitle="Invalid Fidelity Score" promptTitle="System Logic &amp; Integration — Max" prompt="Enter 0–20. Score how faithfully the avionics responds to aircraft state, electrical power, sensors, other systems, and pilot configuration. Leave blank if genuinely N/A." sqref="K4:K20" xr:uid="{77D04549-69DC-5046-83D0-2B67B5B2006B}">
      <formula1>0</formula1>
      <formula2>20</formula2>
    </dataValidation>
    <dataValidation type="whole" allowBlank="1" showInputMessage="1" showErrorMessage="1" errorTitle="Invalid Fidelity Score" error="Enter a whole number from 0 to 15, or leave the cell blank if this category is not applicable." promptTitle="Display &amp; Interface — Max 15" prompt="Enter 0–15. Score the fidelity of layouts, pages, symbology, indications, annunciations, controls, menus, and display transitions. Leave blank if genuinely N/A." sqref="J4:J20" xr:uid="{FE583174-F4A2-CC4D-99A4-AF57B43A1A26}">
      <formula1>0</formula1>
      <formula2>15</formula2>
    </dataValidation>
    <dataValidation type="whole" allowBlank="1" showInputMessage="1" showErrorMessage="1" promptTitle="Navigation Data Handling — Max 8" prompt="Enter 0–8. Score how faithfully the avionics interprets and uses navigation data, including routes, procedures, transitions, constraints, runway changes, and approaches. Leave blank if genuinely N/A." sqref="L4:L20" xr:uid="{8B61E876-5D17-A64A-9C5C-25219E4B2F11}">
      <formula1>0</formula1>
      <formula2>8</formula2>
    </dataValidation>
    <dataValidation type="whole" allowBlank="1" showInputMessage="1" showErrorMessage="1" promptTitle="Failures — Max 7" prompt="Enter 0–7. Score correct failure indications, warnings, degraded modes, reversionary behavior, and downstream consequences. Leave blank if genuinely N/A." sqref="M4:M20" xr:uid="{25D3D686-CF38-3B46-BC65-A1760D0D68E9}">
      <formula1>0</formula1>
      <formula2>7</formula2>
    </dataValidation>
    <dataValidation type="whole" allowBlank="1" showInputMessage="1" showErrorMessage="1" promptTitle="Depth &amp; Edge Cases — Max 5" prompt="Enter 0–5. Score unusual inputs, uncommon configurations, boundary conditions, and complex system states beyond normal operation. Leave blank if genuinely N/A." sqref="N4:N20" xr:uid="{5D5C9858-055D-BF4D-9C26-D525F9E035CA}">
      <formula1>0</formula1>
      <formula2>5</formula2>
    </dataValidation>
    <dataValidation type="whole" allowBlank="1" showInputMessage="1" showErrorMessage="1" errorTitle="Invalid Fidelity Score" error="Enter a whole number from 0 to 20, or leave the cell blank if this category is not applicable." promptTitle="Operational / Procedural — Max 2" prompt="Enter 0–20. Score how faithfully authentic avionics workflows, procedures, sequences, prerequisites, and responses are reproduced. Leave blank if genuinely N/A." sqref="I4:I20" xr:uid="{E62762F0-46A9-0740-B6A3-E26682747461}">
      <formula1>0</formula1>
      <formula2>20</formula2>
    </dataValidation>
  </dataValidations>
  <pageMargins left="0.7" right="0.7" top="0.75" bottom="0.75" header="0.3" footer="0.3"/>
  <pageSetup orientation="portrait" horizontalDpi="0" verticalDpi="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80090-4783-4549-A31F-9270447A629B}">
  <dimension ref="A1:G15"/>
  <sheetViews>
    <sheetView workbookViewId="0">
      <selection activeCell="A16" sqref="A16"/>
    </sheetView>
  </sheetViews>
  <sheetFormatPr baseColWidth="10" defaultColWidth="29.5" defaultRowHeight="15" x14ac:dyDescent="0.2"/>
  <sheetData>
    <row r="1" spans="1:7" x14ac:dyDescent="0.2">
      <c r="A1" t="s">
        <v>193</v>
      </c>
    </row>
    <row r="3" spans="1:7" ht="16" x14ac:dyDescent="0.25">
      <c r="A3" s="6" t="s">
        <v>194</v>
      </c>
      <c r="B3" s="6" t="s">
        <v>180</v>
      </c>
      <c r="C3" s="6" t="s">
        <v>81</v>
      </c>
      <c r="D3" s="6" t="s">
        <v>27</v>
      </c>
      <c r="E3" s="6" t="s">
        <v>179</v>
      </c>
      <c r="F3" s="6" t="s">
        <v>143</v>
      </c>
      <c r="G3" s="6" t="s">
        <v>38</v>
      </c>
    </row>
    <row r="4" spans="1:7" ht="16" x14ac:dyDescent="0.25">
      <c r="A4">
        <v>1</v>
      </c>
      <c r="B4">
        <v>1</v>
      </c>
      <c r="C4">
        <v>1</v>
      </c>
      <c r="D4">
        <f>_xlfn.XLOOKUP(B4,Avionics_Evaluations!$A$4:$A$100,Avionics_Evaluations!$E$4:$E$100,"")</f>
        <v>777</v>
      </c>
      <c r="E4" t="str">
        <f>_xlfn.XLOOKUP(B4,Avionics_Evaluations!$A$4:$A$100,Avionics_Evaluations!$F$4:$F$100,"")</f>
        <v>FlightFactor EFB</v>
      </c>
      <c r="F4" t="s">
        <v>146</v>
      </c>
      <c r="G4" s="6" t="s">
        <v>197</v>
      </c>
    </row>
    <row r="5" spans="1:7" ht="16" x14ac:dyDescent="0.25">
      <c r="A5">
        <v>2</v>
      </c>
      <c r="B5">
        <v>1</v>
      </c>
      <c r="C5">
        <v>7</v>
      </c>
      <c r="D5">
        <f>_xlfn.XLOOKUP(B5,Avionics_Evaluations!$A$4:$A$100,Avionics_Evaluations!$E$4:$E$100,"")</f>
        <v>777</v>
      </c>
      <c r="E5" t="str">
        <f>_xlfn.XLOOKUP(B5,Avionics_Evaluations!$A$4:$A$100,Avionics_Evaluations!$F$4:$F$100,"")</f>
        <v>FlightFactor EFB</v>
      </c>
      <c r="F5" t="s">
        <v>144</v>
      </c>
      <c r="G5" s="6" t="s">
        <v>198</v>
      </c>
    </row>
    <row r="6" spans="1:7" ht="16" x14ac:dyDescent="0.25">
      <c r="A6">
        <v>3</v>
      </c>
      <c r="B6">
        <v>1</v>
      </c>
      <c r="C6">
        <v>8</v>
      </c>
      <c r="D6">
        <f>_xlfn.XLOOKUP(B6,Avionics_Evaluations!$A$4:$A$100,Avionics_Evaluations!$E$4:$E$100,"")</f>
        <v>777</v>
      </c>
      <c r="E6" t="str">
        <f>_xlfn.XLOOKUP(B6,Avionics_Evaluations!$A$4:$A$100,Avionics_Evaluations!$F$4:$F$100,"")</f>
        <v>FlightFactor EFB</v>
      </c>
      <c r="F6" t="s">
        <v>144</v>
      </c>
      <c r="G6" s="6" t="s">
        <v>199</v>
      </c>
    </row>
    <row r="7" spans="1:7" ht="16" x14ac:dyDescent="0.25">
      <c r="A7">
        <v>4</v>
      </c>
      <c r="B7">
        <v>1</v>
      </c>
      <c r="C7">
        <v>10</v>
      </c>
      <c r="D7">
        <f>_xlfn.XLOOKUP(B7,Avionics_Evaluations!$A$4:$A$100,Avionics_Evaluations!$E$4:$E$100,"")</f>
        <v>777</v>
      </c>
      <c r="E7" t="str">
        <f>_xlfn.XLOOKUP(B7,Avionics_Evaluations!$A$4:$A$100,Avionics_Evaluations!$F$4:$F$100,"")</f>
        <v>FlightFactor EFB</v>
      </c>
      <c r="F7" t="s">
        <v>196</v>
      </c>
      <c r="G7" s="6" t="s">
        <v>202</v>
      </c>
    </row>
    <row r="8" spans="1:7" x14ac:dyDescent="0.2">
      <c r="A8">
        <v>5</v>
      </c>
      <c r="B8">
        <v>2</v>
      </c>
      <c r="C8">
        <v>11</v>
      </c>
      <c r="D8" t="str">
        <f>_xlfn.XLOOKUP(B8,Avionics_Evaluations!$A$4:$A$100,Avionics_Evaluations!$E$4:$E$100,"")</f>
        <v>SR20</v>
      </c>
      <c r="E8" t="str">
        <f>_xlfn.XLOOKUP(B8,Avionics_Evaluations!$A$4:$A$100,Avionics_Evaluations!$F$4:$F$100,"")</f>
        <v>Garmin Perspective</v>
      </c>
      <c r="F8" t="s">
        <v>146</v>
      </c>
      <c r="G8" t="s">
        <v>230</v>
      </c>
    </row>
    <row r="9" spans="1:7" x14ac:dyDescent="0.2">
      <c r="A9">
        <v>6</v>
      </c>
      <c r="B9">
        <v>2</v>
      </c>
      <c r="C9">
        <v>12</v>
      </c>
      <c r="D9" t="str">
        <f>_xlfn.XLOOKUP(B9,Avionics_Evaluations!$A$4:$A$100,Avionics_Evaluations!$E$4:$E$100,"")</f>
        <v>SR20</v>
      </c>
      <c r="E9" t="str">
        <f>_xlfn.XLOOKUP(B9,Avionics_Evaluations!$A$4:$A$100,Avionics_Evaluations!$F$4:$F$100,"")</f>
        <v>Garmin Perspective</v>
      </c>
      <c r="F9" t="s">
        <v>196</v>
      </c>
      <c r="G9" t="s">
        <v>231</v>
      </c>
    </row>
    <row r="10" spans="1:7" ht="16" x14ac:dyDescent="0.25">
      <c r="A10">
        <v>7</v>
      </c>
      <c r="B10">
        <v>3</v>
      </c>
      <c r="C10">
        <v>13</v>
      </c>
      <c r="D10" t="str">
        <f>_xlfn.XLOOKUP(B10,Avionics_Evaluations!$A$4:$A$100,Avionics_Evaluations!$E$4:$E$100,"")</f>
        <v>DA50</v>
      </c>
      <c r="E10" t="str">
        <f>_xlfn.XLOOKUP(B10,Avionics_Evaluations!$A$4:$A$100,Avionics_Evaluations!$F$4:$F$100,"")</f>
        <v>Garmin G1000 / X1000</v>
      </c>
      <c r="F10" t="s">
        <v>196</v>
      </c>
      <c r="G10" s="6" t="s">
        <v>254</v>
      </c>
    </row>
    <row r="11" spans="1:7" x14ac:dyDescent="0.2">
      <c r="A11">
        <v>8</v>
      </c>
      <c r="B11">
        <v>3</v>
      </c>
      <c r="C11">
        <v>14</v>
      </c>
      <c r="D11" t="str">
        <f>_xlfn.XLOOKUP(B11,Avionics_Evaluations!$A$4:$A$100,Avionics_Evaluations!$E$4:$E$100,"")</f>
        <v>DA50</v>
      </c>
      <c r="E11" t="str">
        <f>_xlfn.XLOOKUP(B11,Avionics_Evaluations!$A$4:$A$100,Avionics_Evaluations!$F$4:$F$100,"")</f>
        <v>Garmin G1000 / X1000</v>
      </c>
      <c r="F11" t="s">
        <v>196</v>
      </c>
      <c r="G11" t="s">
        <v>255</v>
      </c>
    </row>
    <row r="12" spans="1:7" x14ac:dyDescent="0.2">
      <c r="A12">
        <v>9</v>
      </c>
      <c r="B12">
        <v>4</v>
      </c>
      <c r="C12">
        <v>16</v>
      </c>
      <c r="D12">
        <f>_xlfn.XLOOKUP(B12,Avionics_Evaluations!$A$4:$A$100,Avionics_Evaluations!$E$4:$E$100,"")</f>
        <v>777</v>
      </c>
      <c r="E12" t="str">
        <f>_xlfn.XLOOKUP(B12,Avionics_Evaluations!$A$4:$A$100,Avionics_Evaluations!$F$4:$F$100,"")</f>
        <v>777 Flight Management System (FMS/FMC)</v>
      </c>
      <c r="F12" t="s">
        <v>144</v>
      </c>
      <c r="G12" t="s">
        <v>266</v>
      </c>
    </row>
    <row r="13" spans="1:7" x14ac:dyDescent="0.2">
      <c r="A13">
        <v>10</v>
      </c>
      <c r="B13">
        <v>4</v>
      </c>
      <c r="C13">
        <v>16</v>
      </c>
      <c r="D13">
        <f>_xlfn.XLOOKUP(B13,Avionics_Evaluations!$A$4:$A$100,Avionics_Evaluations!$E$4:$E$100,"")</f>
        <v>777</v>
      </c>
      <c r="E13" t="str">
        <f>_xlfn.XLOOKUP(B13,Avionics_Evaluations!$A$4:$A$100,Avionics_Evaluations!$F$4:$F$100,"")</f>
        <v>777 Flight Management System (FMS/FMC)</v>
      </c>
      <c r="F13" t="s">
        <v>144</v>
      </c>
      <c r="G13" t="s">
        <v>267</v>
      </c>
    </row>
    <row r="14" spans="1:7" x14ac:dyDescent="0.2">
      <c r="A14">
        <v>11</v>
      </c>
      <c r="B14">
        <v>4</v>
      </c>
      <c r="C14">
        <v>16</v>
      </c>
      <c r="D14">
        <f>_xlfn.XLOOKUP(B14,Avionics_Evaluations!$A$4:$A$100,Avionics_Evaluations!$E$4:$E$100,"")</f>
        <v>777</v>
      </c>
      <c r="E14" t="str">
        <f>_xlfn.XLOOKUP(B14,Avionics_Evaluations!$A$4:$A$100,Avionics_Evaluations!$F$4:$F$100,"")</f>
        <v>777 Flight Management System (FMS/FMC)</v>
      </c>
      <c r="F14" t="s">
        <v>144</v>
      </c>
      <c r="G14" t="s">
        <v>268</v>
      </c>
    </row>
    <row r="15" spans="1:7" x14ac:dyDescent="0.2">
      <c r="A15">
        <v>12</v>
      </c>
      <c r="B15">
        <v>4</v>
      </c>
      <c r="C15">
        <v>16</v>
      </c>
      <c r="D15">
        <f>_xlfn.XLOOKUP(B15,Avionics_Evaluations!$A$4:$A$100,Avionics_Evaluations!$E$4:$E$100,"")</f>
        <v>777</v>
      </c>
      <c r="E15" t="str">
        <f>_xlfn.XLOOKUP(B15,Avionics_Evaluations!$A$4:$A$100,Avionics_Evaluations!$F$4:$F$100,"")</f>
        <v>777 Flight Management System (FMS/FMC)</v>
      </c>
      <c r="F15" t="s">
        <v>196</v>
      </c>
      <c r="G15" t="s">
        <v>269</v>
      </c>
    </row>
  </sheetData>
  <dataValidations count="3">
    <dataValidation type="list" allowBlank="1" showInputMessage="1" showErrorMessage="1" sqref="B4:B15" xr:uid="{2FFC9748-F978-1449-97DA-B4AAEB58DD13}">
      <formula1>Avionics_Evaluation_ID</formula1>
    </dataValidation>
    <dataValidation type="list" allowBlank="1" showInputMessage="1" showErrorMessage="1" sqref="C4:C15" xr:uid="{45A5BED5-0273-6949-B20C-BFD4F7BDB4AA}">
      <formula1>Source_ID</formula1>
    </dataValidation>
    <dataValidation type="list" allowBlank="1" showInputMessage="1" showErrorMessage="1" sqref="F4:F15" xr:uid="{6284D410-4BD2-E649-86A8-650B1CB4B7CA}">
      <formula1>Avionics_Evidence_Role</formula1>
    </dataValidation>
  </dataValidation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6CE2F-6182-3F4E-9C62-D1574891EDB8}">
  <dimension ref="A1"/>
  <sheetViews>
    <sheetView workbookViewId="0"/>
  </sheetViews>
  <sheetFormatPr baseColWidth="10" defaultRowHeight="15" x14ac:dyDescent="0.2"/>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0DE01-FBA5-A14F-950F-9E0853DAC316}">
  <dimension ref="A1:N128"/>
  <sheetViews>
    <sheetView topLeftCell="I1" workbookViewId="0">
      <selection activeCell="J22" sqref="J22"/>
    </sheetView>
  </sheetViews>
  <sheetFormatPr baseColWidth="10" defaultRowHeight="16" x14ac:dyDescent="0.2"/>
  <cols>
    <col min="1" max="1" width="13.1640625" style="15" bestFit="1" customWidth="1"/>
    <col min="2" max="2" width="13.5" style="15" bestFit="1" customWidth="1"/>
    <col min="3" max="3" width="10.33203125" style="15" customWidth="1"/>
    <col min="4" max="4" width="23.5" style="15" customWidth="1"/>
    <col min="5" max="5" width="32.33203125" style="15" customWidth="1"/>
    <col min="6" max="6" width="47.83203125" style="15" customWidth="1"/>
    <col min="7" max="7" width="24" style="15" customWidth="1"/>
    <col min="8" max="8" width="25.1640625" style="15" customWidth="1"/>
    <col min="9" max="9" width="62" style="15" customWidth="1"/>
    <col min="10" max="10" width="35.1640625" style="15" customWidth="1"/>
    <col min="11" max="11" width="25.5" style="15" customWidth="1"/>
    <col min="12" max="12" width="50.5" style="15" customWidth="1"/>
    <col min="13" max="13" width="10.83203125" style="15"/>
    <col min="14" max="14" width="45.5" style="15" customWidth="1"/>
    <col min="15" max="16384" width="10.83203125" style="15"/>
  </cols>
  <sheetData>
    <row r="1" spans="1:14" x14ac:dyDescent="0.2">
      <c r="A1" s="15" t="s">
        <v>80</v>
      </c>
    </row>
    <row r="3" spans="1:14" x14ac:dyDescent="0.2">
      <c r="A3" s="15" t="s">
        <v>81</v>
      </c>
      <c r="B3" s="15" t="s">
        <v>65</v>
      </c>
      <c r="C3" s="15" t="s">
        <v>96</v>
      </c>
      <c r="D3" s="15" t="s">
        <v>97</v>
      </c>
      <c r="E3" s="15" t="s">
        <v>117</v>
      </c>
      <c r="F3" s="15" t="s">
        <v>27</v>
      </c>
      <c r="G3" s="15" t="s">
        <v>20</v>
      </c>
      <c r="H3" s="15" t="s">
        <v>82</v>
      </c>
      <c r="I3" s="15" t="s">
        <v>93</v>
      </c>
      <c r="J3" s="15" t="s">
        <v>83</v>
      </c>
      <c r="K3" s="15" t="s">
        <v>84</v>
      </c>
      <c r="L3" s="15" t="s">
        <v>38</v>
      </c>
      <c r="M3" s="15" t="s">
        <v>72</v>
      </c>
      <c r="N3" s="15" t="s">
        <v>85</v>
      </c>
    </row>
    <row r="4" spans="1:14" ht="18" x14ac:dyDescent="0.25">
      <c r="A4" s="15">
        <v>1</v>
      </c>
      <c r="B4" s="15">
        <v>1</v>
      </c>
      <c r="C4" s="15">
        <v>1</v>
      </c>
      <c r="D4" s="15" t="str">
        <f>IF(tblSources[[#This Row],[Variant ID]]="","",_xlfn.XLOOKUP(tblSources[[#This Row],[Variant ID]],tblAircraftVariants[Variant ID],tblAircraftVariants[Variant],""))</f>
        <v>777-200ER</v>
      </c>
      <c r="E4" s="15" t="s">
        <v>122</v>
      </c>
      <c r="F4" s="20">
        <f>_xlfn.XLOOKUP(tblSources[[#This Row],[Aircraft ID]],tblAircraft[Aircraft ID],tblAircraft[Aircraft],"")</f>
        <v>777</v>
      </c>
      <c r="G4" s="9" t="str">
        <f>_xlfn.XLOOKUP(tblSources[[#This Row],[Aircraft ID]],tblAircraft[Aircraft ID],tblAircraft[Simulator],"")</f>
        <v>X-Plane 12</v>
      </c>
      <c r="H4" s="15" t="s">
        <v>87</v>
      </c>
      <c r="I4" s="15" t="s">
        <v>94</v>
      </c>
      <c r="K4" s="17">
        <v>46274</v>
      </c>
      <c r="M4" s="17">
        <v>46274</v>
      </c>
      <c r="N4" s="15" t="s">
        <v>127</v>
      </c>
    </row>
    <row r="5" spans="1:14" ht="18" x14ac:dyDescent="0.25">
      <c r="A5" s="15">
        <v>2</v>
      </c>
      <c r="B5" s="15">
        <v>1</v>
      </c>
      <c r="D5" s="15" t="str">
        <f>IF(tblSources[[#This Row],[Variant ID]]="","",_xlfn.XLOOKUP(tblSources[[#This Row],[Variant ID]],tblAircraftVariants[Variant ID],tblAircraftVariants[Variant],""))</f>
        <v/>
      </c>
      <c r="E5" s="15" t="s">
        <v>122</v>
      </c>
      <c r="F5" s="20">
        <f>_xlfn.XLOOKUP(tblSources[[#This Row],[Aircraft ID]],tblAircraft[Aircraft ID],tblAircraft[Aircraft],"")</f>
        <v>777</v>
      </c>
      <c r="G5" s="9" t="str">
        <f>_xlfn.XLOOKUP(tblSources[[#This Row],[Aircraft ID]],tblAircraft[Aircraft ID],tblAircraft[Simulator],"")</f>
        <v>X-Plane 12</v>
      </c>
      <c r="H5" s="15" t="s">
        <v>88</v>
      </c>
      <c r="I5" s="15" t="s">
        <v>123</v>
      </c>
      <c r="K5" s="17">
        <v>46274</v>
      </c>
      <c r="L5" s="15" t="s">
        <v>124</v>
      </c>
      <c r="M5" s="17">
        <v>46274</v>
      </c>
      <c r="N5" s="15" t="s">
        <v>127</v>
      </c>
    </row>
    <row r="6" spans="1:14" ht="18" x14ac:dyDescent="0.25">
      <c r="A6" s="15">
        <v>3</v>
      </c>
      <c r="B6" s="15">
        <v>1</v>
      </c>
      <c r="C6" s="15">
        <v>1</v>
      </c>
      <c r="D6" s="15" t="str">
        <f>IF(tblSources[[#This Row],[Variant ID]]="","",_xlfn.XLOOKUP(tblSources[[#This Row],[Variant ID]],tblAircraftVariants[Variant ID],tblAircraftVariants[Variant],""))</f>
        <v>777-200ER</v>
      </c>
      <c r="E6" s="15" t="s">
        <v>120</v>
      </c>
      <c r="F6" s="20">
        <f>_xlfn.XLOOKUP(tblSources[[#This Row],[Aircraft ID]],tblAircraft[Aircraft ID],tblAircraft[Aircraft],"")</f>
        <v>777</v>
      </c>
      <c r="G6" s="9" t="str">
        <f>_xlfn.XLOOKUP(tblSources[[#This Row],[Aircraft ID]],tblAircraft[Aircraft ID],tblAircraft[Simulator],"")</f>
        <v>X-Plane 12</v>
      </c>
      <c r="H6" s="15" t="s">
        <v>88</v>
      </c>
      <c r="I6" s="9" t="s">
        <v>125</v>
      </c>
      <c r="K6" s="17">
        <v>46274</v>
      </c>
      <c r="L6" s="15" t="s">
        <v>129</v>
      </c>
      <c r="M6" s="17">
        <v>46274</v>
      </c>
      <c r="N6" s="15" t="s">
        <v>127</v>
      </c>
    </row>
    <row r="7" spans="1:14" ht="18" x14ac:dyDescent="0.25">
      <c r="A7" s="15">
        <v>4</v>
      </c>
      <c r="B7" s="15">
        <v>1</v>
      </c>
      <c r="C7" s="15">
        <v>2</v>
      </c>
      <c r="D7" s="15" t="str">
        <f>IF(tblSources[[#This Row],[Variant ID]]="","",_xlfn.XLOOKUP(tblSources[[#This Row],[Variant ID]],tblAircraftVariants[Variant ID],tblAircraftVariants[Variant],""))</f>
        <v>777-300ER</v>
      </c>
      <c r="E7" s="15" t="s">
        <v>120</v>
      </c>
      <c r="F7" s="20">
        <f>_xlfn.XLOOKUP(tblSources[[#This Row],[Aircraft ID]],tblAircraft[Aircraft ID],tblAircraft[Aircraft],"")</f>
        <v>777</v>
      </c>
      <c r="G7" s="9" t="str">
        <f>_xlfn.XLOOKUP(tblSources[[#This Row],[Aircraft ID]],tblAircraft[Aircraft ID],tblAircraft[Simulator],"")</f>
        <v>X-Plane 12</v>
      </c>
      <c r="H7" s="15" t="s">
        <v>88</v>
      </c>
      <c r="I7" s="9" t="s">
        <v>126</v>
      </c>
      <c r="K7" s="17">
        <v>46274</v>
      </c>
      <c r="L7" s="15" t="s">
        <v>128</v>
      </c>
      <c r="M7" s="17">
        <v>46274</v>
      </c>
      <c r="N7" s="15" t="s">
        <v>127</v>
      </c>
    </row>
    <row r="8" spans="1:14" ht="18" x14ac:dyDescent="0.25">
      <c r="A8" s="15">
        <v>5</v>
      </c>
      <c r="B8" s="15">
        <v>1</v>
      </c>
      <c r="C8" s="15">
        <v>3</v>
      </c>
      <c r="D8" s="15" t="str">
        <f>IF(tblSources[[#This Row],[Variant ID]]="","",_xlfn.XLOOKUP(tblSources[[#This Row],[Variant ID]],tblAircraftVariants[Variant ID],tblAircraftVariants[Variant],""))</f>
        <v>777F</v>
      </c>
      <c r="E8" s="15" t="s">
        <v>120</v>
      </c>
      <c r="F8" s="20">
        <f>_xlfn.XLOOKUP(tblSources[[#This Row],[Aircraft ID]],tblAircraft[Aircraft ID],tblAircraft[Aircraft],"")</f>
        <v>777</v>
      </c>
      <c r="G8" s="9" t="str">
        <f>_xlfn.XLOOKUP(tblSources[[#This Row],[Aircraft ID]],tblAircraft[Aircraft ID],tblAircraft[Simulator],"")</f>
        <v>X-Plane 12</v>
      </c>
      <c r="H8" s="15" t="s">
        <v>88</v>
      </c>
      <c r="I8" s="15" t="s">
        <v>131</v>
      </c>
      <c r="K8" s="17">
        <v>46274</v>
      </c>
      <c r="L8" s="15" t="s">
        <v>130</v>
      </c>
      <c r="M8" s="17">
        <v>46274</v>
      </c>
      <c r="N8" s="15" t="s">
        <v>127</v>
      </c>
    </row>
    <row r="9" spans="1:14" ht="18" x14ac:dyDescent="0.25">
      <c r="A9" s="15">
        <v>6</v>
      </c>
      <c r="B9" s="15">
        <v>1</v>
      </c>
      <c r="D9" s="15" t="str">
        <f>IF(tblSources[[#This Row],[Variant ID]]="","",_xlfn.XLOOKUP(tblSources[[#This Row],[Variant ID]],tblAircraftVariants[Variant ID],tblAircraftVariants[Variant],""))</f>
        <v/>
      </c>
      <c r="E9" s="15" t="s">
        <v>119</v>
      </c>
      <c r="F9" s="20">
        <f>_xlfn.XLOOKUP(tblSources[[#This Row],[Aircraft ID]],tblAircraft[Aircraft ID],tblAircraft[Aircraft],"")</f>
        <v>777</v>
      </c>
      <c r="G9" s="9" t="str">
        <f>_xlfn.XLOOKUP(tblSources[[#This Row],[Aircraft ID]],tblAircraft[Aircraft ID],tblAircraft[Simulator],"")</f>
        <v>X-Plane 12</v>
      </c>
      <c r="H9" s="15" t="s">
        <v>88</v>
      </c>
      <c r="I9" s="9" t="s">
        <v>132</v>
      </c>
      <c r="K9" s="17">
        <v>46274</v>
      </c>
      <c r="L9" s="15" t="s">
        <v>133</v>
      </c>
      <c r="M9" s="17">
        <v>46274</v>
      </c>
      <c r="N9" s="15" t="s">
        <v>127</v>
      </c>
    </row>
    <row r="10" spans="1:14" ht="18" x14ac:dyDescent="0.25">
      <c r="A10" s="15">
        <v>7</v>
      </c>
      <c r="B10" s="15">
        <v>1</v>
      </c>
      <c r="D10" s="15" t="str">
        <f>IF(tblSources[[#This Row],[Variant ID]]="","",_xlfn.XLOOKUP(tblSources[[#This Row],[Variant ID]],tblAircraftVariants[Variant ID],tblAircraftVariants[Variant],""))</f>
        <v/>
      </c>
      <c r="F10" s="20">
        <f>_xlfn.XLOOKUP(tblSources[[#This Row],[Aircraft ID]],tblAircraft[Aircraft ID],tblAircraft[Aircraft],"")</f>
        <v>777</v>
      </c>
      <c r="G10" s="9" t="str">
        <f>_xlfn.XLOOKUP(tblSources[[#This Row],[Aircraft ID]],tblAircraft[Aircraft ID],tblAircraft[Simulator],"")</f>
        <v>X-Plane 12</v>
      </c>
      <c r="H10" s="15" t="s">
        <v>88</v>
      </c>
      <c r="I10" s="9" t="s">
        <v>134</v>
      </c>
      <c r="K10" s="17">
        <v>46274</v>
      </c>
      <c r="L10" s="15" t="s">
        <v>135</v>
      </c>
      <c r="M10" s="17">
        <v>46274</v>
      </c>
      <c r="N10" s="15" t="s">
        <v>127</v>
      </c>
    </row>
    <row r="11" spans="1:14" ht="18" x14ac:dyDescent="0.25">
      <c r="A11" s="15">
        <v>8</v>
      </c>
      <c r="B11" s="15">
        <v>1</v>
      </c>
      <c r="D11" s="15" t="str">
        <f>IF(tblSources[[#This Row],[Variant ID]]="","",_xlfn.XLOOKUP(tblSources[[#This Row],[Variant ID]],tblAircraftVariants[Variant ID],tblAircraftVariants[Variant],""))</f>
        <v/>
      </c>
      <c r="F11" s="20">
        <f>_xlfn.XLOOKUP(tblSources[[#This Row],[Aircraft ID]],tblAircraft[Aircraft ID],tblAircraft[Aircraft],"")</f>
        <v>777</v>
      </c>
      <c r="G11" s="9" t="str">
        <f>_xlfn.XLOOKUP(tblSources[[#This Row],[Aircraft ID]],tblAircraft[Aircraft ID],tblAircraft[Simulator],"")</f>
        <v>X-Plane 12</v>
      </c>
      <c r="H11" s="15" t="s">
        <v>88</v>
      </c>
      <c r="I11" s="9" t="s">
        <v>136</v>
      </c>
      <c r="K11" s="17">
        <v>46274</v>
      </c>
      <c r="L11" s="15" t="s">
        <v>137</v>
      </c>
      <c r="M11" s="17">
        <v>46274</v>
      </c>
      <c r="N11" s="15" t="s">
        <v>127</v>
      </c>
    </row>
    <row r="12" spans="1:14" ht="18" x14ac:dyDescent="0.25">
      <c r="A12" s="15">
        <v>9</v>
      </c>
      <c r="B12" s="15">
        <v>1</v>
      </c>
      <c r="D12" s="15" t="str">
        <f>IF(tblSources[[#This Row],[Variant ID]]="","",_xlfn.XLOOKUP(tblSources[[#This Row],[Variant ID]],tblAircraftVariants[Variant ID],tblAircraftVariants[Variant],""))</f>
        <v/>
      </c>
      <c r="F12" s="20">
        <f>_xlfn.XLOOKUP(tblSources[[#This Row],[Aircraft ID]],tblAircraft[Aircraft ID],tblAircraft[Aircraft],"")</f>
        <v>777</v>
      </c>
      <c r="G12" s="9" t="str">
        <f>_xlfn.XLOOKUP(tblSources[[#This Row],[Aircraft ID]],tblAircraft[Aircraft ID],tblAircraft[Simulator],"")</f>
        <v>X-Plane 12</v>
      </c>
      <c r="H12" s="15" t="s">
        <v>88</v>
      </c>
      <c r="I12" s="9" t="s">
        <v>138</v>
      </c>
      <c r="K12" s="17">
        <v>46274</v>
      </c>
      <c r="L12" s="15" t="s">
        <v>139</v>
      </c>
      <c r="M12" s="17">
        <v>46274</v>
      </c>
      <c r="N12" s="15" t="s">
        <v>127</v>
      </c>
    </row>
    <row r="13" spans="1:14" ht="18" x14ac:dyDescent="0.25">
      <c r="A13" s="15">
        <v>10</v>
      </c>
      <c r="B13" s="15">
        <v>1</v>
      </c>
      <c r="D13" s="15" t="str">
        <f>IF(tblSources[[#This Row],[Variant ID]]="","",_xlfn.XLOOKUP(tblSources[[#This Row],[Variant ID]],tblAircraftVariants[Variant ID],tblAircraftVariants[Variant],""))</f>
        <v/>
      </c>
      <c r="E13" s="15" t="s">
        <v>121</v>
      </c>
      <c r="F13" s="20">
        <f>_xlfn.XLOOKUP(tblSources[[#This Row],[Aircraft ID]],tblAircraft[Aircraft ID],tblAircraft[Aircraft],"")</f>
        <v>777</v>
      </c>
      <c r="G13" s="9" t="str">
        <f>_xlfn.XLOOKUP(tblSources[[#This Row],[Aircraft ID]],tblAircraft[Aircraft ID],tblAircraft[Simulator],"")</f>
        <v>X-Plane 12</v>
      </c>
      <c r="H13" s="15" t="s">
        <v>91</v>
      </c>
      <c r="I13" s="9" t="s">
        <v>200</v>
      </c>
      <c r="K13" s="17">
        <v>46275</v>
      </c>
      <c r="L13" s="9" t="s">
        <v>201</v>
      </c>
      <c r="M13" s="17">
        <v>46275</v>
      </c>
      <c r="N13" s="15" t="s">
        <v>127</v>
      </c>
    </row>
    <row r="14" spans="1:14" ht="18" x14ac:dyDescent="0.25">
      <c r="A14" s="15">
        <v>11</v>
      </c>
      <c r="B14" s="15">
        <v>2</v>
      </c>
      <c r="C14" s="15">
        <v>4</v>
      </c>
      <c r="D14" s="15" t="str">
        <f>IF(tblSources[[#This Row],[Variant ID]]="","",_xlfn.XLOOKUP(tblSources[[#This Row],[Variant ID]],tblAircraftVariants[Variant ID],tblAircraftVariants[Variant],""))</f>
        <v>SR20  G3</v>
      </c>
      <c r="E14" s="15" t="s">
        <v>97</v>
      </c>
      <c r="F14" s="20" t="str">
        <f>_xlfn.XLOOKUP(tblSources[[#This Row],[Aircraft ID]],tblAircraft[Aircraft ID],tblAircraft[Aircraft],"")</f>
        <v>SR20</v>
      </c>
      <c r="G14" s="9" t="str">
        <f>_xlfn.XLOOKUP(tblSources[[#This Row],[Aircraft ID]],tblAircraft[Aircraft ID],tblAircraft[Simulator],"")</f>
        <v>X-Plane 12</v>
      </c>
      <c r="H14" s="15" t="s">
        <v>88</v>
      </c>
      <c r="I14" s="6" t="s">
        <v>226</v>
      </c>
      <c r="K14" s="17">
        <v>46275</v>
      </c>
      <c r="L14" t="s">
        <v>227</v>
      </c>
      <c r="M14" s="17">
        <v>46275</v>
      </c>
      <c r="N14" s="15" t="s">
        <v>127</v>
      </c>
    </row>
    <row r="15" spans="1:14" ht="18" x14ac:dyDescent="0.25">
      <c r="A15" s="15">
        <v>12</v>
      </c>
      <c r="B15" s="15">
        <v>2</v>
      </c>
      <c r="C15" s="15">
        <v>4</v>
      </c>
      <c r="D15" s="15" t="str">
        <f>IF(tblSources[[#This Row],[Variant ID]]="","",_xlfn.XLOOKUP(tblSources[[#This Row],[Variant ID]],tblAircraftVariants[Variant ID],tblAircraftVariants[Variant],""))</f>
        <v>SR20  G3</v>
      </c>
      <c r="E15" s="15" t="s">
        <v>121</v>
      </c>
      <c r="F15" s="20" t="str">
        <f>_xlfn.XLOOKUP(tblSources[[#This Row],[Aircraft ID]],tblAircraft[Aircraft ID],tblAircraft[Aircraft],"")</f>
        <v>SR20</v>
      </c>
      <c r="G15" s="9" t="str">
        <f>_xlfn.XLOOKUP(tblSources[[#This Row],[Aircraft ID]],tblAircraft[Aircraft ID],tblAircraft[Simulator],"")</f>
        <v>X-Plane 12</v>
      </c>
      <c r="H15" s="15" t="s">
        <v>91</v>
      </c>
      <c r="I15" s="6" t="s">
        <v>228</v>
      </c>
      <c r="K15" s="17">
        <f ca="1">TODAY()</f>
        <v>46286</v>
      </c>
      <c r="L15" t="s">
        <v>229</v>
      </c>
      <c r="M15" s="17">
        <v>46276</v>
      </c>
      <c r="N15" s="21" t="s">
        <v>127</v>
      </c>
    </row>
    <row r="16" spans="1:14" ht="18" x14ac:dyDescent="0.25">
      <c r="A16" s="24">
        <v>13</v>
      </c>
      <c r="B16" s="24">
        <v>3</v>
      </c>
      <c r="C16" s="24">
        <v>5</v>
      </c>
      <c r="D16" s="24" t="str">
        <f>IF(tblSources[[#This Row],[Variant ID]]="","",_xlfn.XLOOKUP(tblSources[[#This Row],[Variant ID]],tblAircraftVariants[Variant ID],tblAircraftVariants[Variant],""))</f>
        <v>DA50 RG</v>
      </c>
      <c r="E16" s="24"/>
      <c r="F16" s="25" t="str">
        <f>_xlfn.XLOOKUP(tblSources[[#This Row],[Aircraft ID]],tblAircraft[Aircraft ID],tblAircraft[Aircraft],"")</f>
        <v>DA50</v>
      </c>
      <c r="G16" s="9" t="str">
        <f>_xlfn.XLOOKUP(tblSources[[#This Row],[Aircraft ID]],tblAircraft[Aircraft ID],tblAircraft[Simulator],"")</f>
        <v>X-Plane 12</v>
      </c>
      <c r="H16" s="24" t="s">
        <v>88</v>
      </c>
      <c r="I16" s="6" t="s">
        <v>250</v>
      </c>
      <c r="J16" s="24"/>
      <c r="K16" s="26">
        <v>46276</v>
      </c>
      <c r="L16" s="6" t="s">
        <v>251</v>
      </c>
      <c r="M16" s="17">
        <v>46276</v>
      </c>
      <c r="N16" s="24" t="s">
        <v>127</v>
      </c>
    </row>
    <row r="17" spans="1:14" ht="18" x14ac:dyDescent="0.25">
      <c r="A17" s="24">
        <v>14</v>
      </c>
      <c r="B17" s="24">
        <v>3</v>
      </c>
      <c r="C17" s="24">
        <v>5</v>
      </c>
      <c r="D17" s="24" t="str">
        <f>IF(tblSources[[#This Row],[Variant ID]]="","",_xlfn.XLOOKUP(tblSources[[#This Row],[Variant ID]],tblAircraftVariants[Variant ID],tblAircraftVariants[Variant],""))</f>
        <v>DA50 RG</v>
      </c>
      <c r="E17" s="24" t="s">
        <v>121</v>
      </c>
      <c r="F17" s="25" t="str">
        <f>_xlfn.XLOOKUP(tblSources[[#This Row],[Aircraft ID]],tblAircraft[Aircraft ID],tblAircraft[Aircraft],"")</f>
        <v>DA50</v>
      </c>
      <c r="G17" s="9" t="str">
        <f>_xlfn.XLOOKUP(tblSources[[#This Row],[Aircraft ID]],tblAircraft[Aircraft ID],tblAircraft[Simulator],"")</f>
        <v>X-Plane 12</v>
      </c>
      <c r="H17" s="24" t="s">
        <v>91</v>
      </c>
      <c r="I17" s="6" t="s">
        <v>252</v>
      </c>
      <c r="J17" s="24"/>
      <c r="K17" s="26">
        <v>46276</v>
      </c>
      <c r="L17" s="6" t="s">
        <v>253</v>
      </c>
      <c r="M17" s="17">
        <v>46276</v>
      </c>
      <c r="N17" s="24" t="s">
        <v>127</v>
      </c>
    </row>
    <row r="18" spans="1:14" ht="18" x14ac:dyDescent="0.25">
      <c r="A18" s="24">
        <v>15</v>
      </c>
      <c r="B18" s="24">
        <v>3</v>
      </c>
      <c r="C18" s="24">
        <v>5</v>
      </c>
      <c r="D18" s="24" t="str">
        <f>IF(tblSources[[#This Row],[Variant ID]]="","",_xlfn.XLOOKUP(tblSources[[#This Row],[Variant ID]],tblAircraftVariants[Variant ID],tblAircraftVariants[Variant],""))</f>
        <v>DA50 RG</v>
      </c>
      <c r="E18" s="24" t="s">
        <v>121</v>
      </c>
      <c r="F18" s="25" t="str">
        <f>_xlfn.XLOOKUP(tblSources[[#This Row],[Aircraft ID]],tblAircraft[Aircraft ID],tblAircraft[Aircraft],"")</f>
        <v>DA50</v>
      </c>
      <c r="G18" s="9" t="str">
        <f>_xlfn.XLOOKUP(tblSources[[#This Row],[Aircraft ID]],tblAircraft[Aircraft ID],tblAircraft[Simulator],"")</f>
        <v>X-Plane 12</v>
      </c>
      <c r="H18" s="24" t="s">
        <v>91</v>
      </c>
      <c r="I18" s="9" t="s">
        <v>257</v>
      </c>
      <c r="J18" s="28" t="s">
        <v>258</v>
      </c>
      <c r="K18" s="26">
        <f ca="1">TODAY()</f>
        <v>46286</v>
      </c>
      <c r="L18" s="24" t="s">
        <v>259</v>
      </c>
      <c r="M18" s="26">
        <f ca="1">TODAY()</f>
        <v>46286</v>
      </c>
      <c r="N18" s="24" t="s">
        <v>127</v>
      </c>
    </row>
    <row r="19" spans="1:14" ht="18" x14ac:dyDescent="0.25">
      <c r="A19" s="24">
        <v>16</v>
      </c>
      <c r="B19" s="24">
        <v>1</v>
      </c>
      <c r="C19" s="24">
        <v>1</v>
      </c>
      <c r="D19" s="24" t="str">
        <f>IF(tblSources[[#This Row],[Variant ID]]="","",_xlfn.XLOOKUP(tblSources[[#This Row],[Variant ID]],tblAircraftVariants[Variant ID],tblAircraftVariants[Variant],""))</f>
        <v>777-200ER</v>
      </c>
      <c r="E19" s="24" t="s">
        <v>121</v>
      </c>
      <c r="F19" s="25">
        <f>_xlfn.XLOOKUP(tblSources[[#This Row],[Aircraft ID]],tblAircraft[Aircraft ID],tblAircraft[Aircraft],"")</f>
        <v>777</v>
      </c>
      <c r="G19" s="9" t="str">
        <f>_xlfn.XLOOKUP(tblSources[[#This Row],[Aircraft ID]],tblAircraft[Aircraft ID],tblAircraft[Simulator],"")</f>
        <v>X-Plane 12</v>
      </c>
      <c r="H19" s="24" t="s">
        <v>91</v>
      </c>
      <c r="I19" s="6" t="s">
        <v>264</v>
      </c>
      <c r="J19" s="24"/>
      <c r="K19" s="26">
        <f ca="1">TODAY()</f>
        <v>46286</v>
      </c>
      <c r="L19" s="6" t="s">
        <v>265</v>
      </c>
      <c r="M19" s="26">
        <f ca="1">TODAY()</f>
        <v>46286</v>
      </c>
      <c r="N19" s="24" t="s">
        <v>127</v>
      </c>
    </row>
    <row r="20" spans="1:14" ht="18" x14ac:dyDescent="0.25">
      <c r="A20" s="31">
        <v>17</v>
      </c>
      <c r="B20" s="31">
        <v>4</v>
      </c>
      <c r="C20" s="31">
        <v>6</v>
      </c>
      <c r="D20" s="31" t="str">
        <f>IF(tblSources[[#This Row],[Variant ID]]="","",_xlfn.XLOOKUP(tblSources[[#This Row],[Variant ID]],tblAircraftVariants[Variant ID],tblAircraftVariants[Variant],""))</f>
        <v>A321-200</v>
      </c>
      <c r="E20" s="31" t="s">
        <v>97</v>
      </c>
      <c r="F20" s="32" t="str">
        <f>_xlfn.XLOOKUP(tblSources[[#This Row],[Aircraft ID]],tblAircraft[Aircraft ID],tblAircraft[Aircraft],"")</f>
        <v>A321</v>
      </c>
      <c r="G20" s="9" t="str">
        <f>_xlfn.XLOOKUP(tblSources[[#This Row],[Aircraft ID]],tblAircraft[Aircraft ID],tblAircraft[Simulator],"")</f>
        <v>X-Plane 12</v>
      </c>
      <c r="H20" s="31" t="s">
        <v>91</v>
      </c>
      <c r="I20" s="9" t="s">
        <v>290</v>
      </c>
      <c r="J20" s="31"/>
      <c r="K20" s="33">
        <f ca="1">TODAY()</f>
        <v>46286</v>
      </c>
      <c r="L20" t="s">
        <v>291</v>
      </c>
      <c r="M20" s="33">
        <f ca="1">TODAY()</f>
        <v>46286</v>
      </c>
      <c r="N20" s="31" t="s">
        <v>127</v>
      </c>
    </row>
    <row r="21" spans="1:14" ht="18" x14ac:dyDescent="0.25">
      <c r="A21" s="31">
        <v>18</v>
      </c>
      <c r="B21" s="31">
        <v>4</v>
      </c>
      <c r="C21" s="31">
        <v>6</v>
      </c>
      <c r="D21" s="31" t="str">
        <f>IF(tblSources[[#This Row],[Variant ID]]="","",_xlfn.XLOOKUP(tblSources[[#This Row],[Variant ID]],tblAircraftVariants[Variant ID],tblAircraftVariants[Variant],""))</f>
        <v>A321-200</v>
      </c>
      <c r="E21" s="31" t="s">
        <v>97</v>
      </c>
      <c r="F21" s="32" t="str">
        <f>_xlfn.XLOOKUP(tblSources[[#This Row],[Aircraft ID]],tblAircraft[Aircraft ID],tblAircraft[Aircraft],"")</f>
        <v>A321</v>
      </c>
      <c r="G21" s="9" t="str">
        <f>_xlfn.XLOOKUP(tblSources[[#This Row],[Aircraft ID]],tblAircraft[Aircraft ID],tblAircraft[Simulator],"")</f>
        <v>X-Plane 12</v>
      </c>
      <c r="H21" s="31" t="s">
        <v>87</v>
      </c>
      <c r="I21" t="s">
        <v>293</v>
      </c>
      <c r="J21" s="31"/>
      <c r="K21" s="33">
        <f ca="1">TODAY()</f>
        <v>46286</v>
      </c>
      <c r="L21" t="s">
        <v>294</v>
      </c>
      <c r="M21" s="33">
        <f ca="1">TODAY()</f>
        <v>46286</v>
      </c>
      <c r="N21" s="31" t="s">
        <v>127</v>
      </c>
    </row>
    <row r="22" spans="1:14" x14ac:dyDescent="0.2">
      <c r="K22" s="17"/>
      <c r="M22" s="17"/>
    </row>
    <row r="23" spans="1:14" x14ac:dyDescent="0.2">
      <c r="K23" s="17"/>
      <c r="M23" s="17"/>
    </row>
    <row r="24" spans="1:14" x14ac:dyDescent="0.2">
      <c r="K24" s="17"/>
      <c r="M24" s="17"/>
    </row>
    <row r="25" spans="1:14" x14ac:dyDescent="0.2">
      <c r="K25" s="17"/>
      <c r="M25" s="17"/>
    </row>
    <row r="26" spans="1:14" x14ac:dyDescent="0.2">
      <c r="K26" s="17"/>
      <c r="M26" s="17"/>
    </row>
    <row r="27" spans="1:14" x14ac:dyDescent="0.2">
      <c r="K27" s="17"/>
      <c r="M27" s="17"/>
    </row>
    <row r="28" spans="1:14" x14ac:dyDescent="0.2">
      <c r="K28" s="17"/>
      <c r="M28" s="17"/>
    </row>
    <row r="29" spans="1:14" x14ac:dyDescent="0.2">
      <c r="K29" s="17"/>
      <c r="M29" s="17"/>
    </row>
    <row r="30" spans="1:14" x14ac:dyDescent="0.2">
      <c r="K30" s="17"/>
      <c r="M30" s="17"/>
    </row>
    <row r="31" spans="1:14" x14ac:dyDescent="0.2">
      <c r="K31" s="17"/>
      <c r="M31" s="17"/>
    </row>
    <row r="32" spans="1:14" x14ac:dyDescent="0.2">
      <c r="K32" s="17"/>
      <c r="M32" s="17"/>
    </row>
    <row r="33" spans="11:13" x14ac:dyDescent="0.2">
      <c r="K33" s="17"/>
      <c r="M33" s="17"/>
    </row>
    <row r="34" spans="11:13" x14ac:dyDescent="0.2">
      <c r="K34" s="17"/>
      <c r="M34" s="17"/>
    </row>
    <row r="35" spans="11:13" x14ac:dyDescent="0.2">
      <c r="K35" s="17"/>
      <c r="M35" s="17"/>
    </row>
    <row r="36" spans="11:13" x14ac:dyDescent="0.2">
      <c r="K36" s="17"/>
      <c r="M36" s="17"/>
    </row>
    <row r="37" spans="11:13" x14ac:dyDescent="0.2">
      <c r="K37" s="17"/>
      <c r="M37" s="17"/>
    </row>
    <row r="38" spans="11:13" x14ac:dyDescent="0.2">
      <c r="K38" s="17"/>
      <c r="M38" s="17"/>
    </row>
    <row r="39" spans="11:13" x14ac:dyDescent="0.2">
      <c r="K39" s="17"/>
      <c r="M39" s="17"/>
    </row>
    <row r="40" spans="11:13" x14ac:dyDescent="0.2">
      <c r="K40" s="17"/>
      <c r="M40" s="17"/>
    </row>
    <row r="41" spans="11:13" x14ac:dyDescent="0.2">
      <c r="K41" s="17"/>
      <c r="M41" s="17"/>
    </row>
    <row r="42" spans="11:13" x14ac:dyDescent="0.2">
      <c r="K42" s="17"/>
      <c r="M42" s="17"/>
    </row>
    <row r="43" spans="11:13" x14ac:dyDescent="0.2">
      <c r="K43" s="17"/>
      <c r="M43" s="17"/>
    </row>
    <row r="44" spans="11:13" x14ac:dyDescent="0.2">
      <c r="K44" s="17"/>
      <c r="M44" s="17"/>
    </row>
    <row r="45" spans="11:13" x14ac:dyDescent="0.2">
      <c r="K45" s="17"/>
      <c r="M45" s="17"/>
    </row>
    <row r="46" spans="11:13" x14ac:dyDescent="0.2">
      <c r="K46" s="17"/>
      <c r="M46" s="17"/>
    </row>
    <row r="47" spans="11:13" x14ac:dyDescent="0.2">
      <c r="K47" s="17"/>
      <c r="M47" s="17"/>
    </row>
    <row r="48" spans="11:13" x14ac:dyDescent="0.2">
      <c r="K48" s="17"/>
      <c r="M48" s="17"/>
    </row>
    <row r="49" spans="11:13" x14ac:dyDescent="0.2">
      <c r="K49" s="17"/>
      <c r="M49" s="17"/>
    </row>
    <row r="50" spans="11:13" x14ac:dyDescent="0.2">
      <c r="K50" s="17"/>
      <c r="M50" s="17"/>
    </row>
    <row r="51" spans="11:13" x14ac:dyDescent="0.2">
      <c r="K51" s="17"/>
      <c r="M51" s="17"/>
    </row>
    <row r="52" spans="11:13" x14ac:dyDescent="0.2">
      <c r="K52" s="17"/>
      <c r="M52" s="17"/>
    </row>
    <row r="53" spans="11:13" x14ac:dyDescent="0.2">
      <c r="K53" s="17"/>
      <c r="M53" s="17"/>
    </row>
    <row r="54" spans="11:13" x14ac:dyDescent="0.2">
      <c r="K54" s="17"/>
      <c r="M54" s="17"/>
    </row>
    <row r="55" spans="11:13" x14ac:dyDescent="0.2">
      <c r="K55" s="17"/>
      <c r="M55" s="17"/>
    </row>
    <row r="56" spans="11:13" x14ac:dyDescent="0.2">
      <c r="K56" s="17"/>
      <c r="M56" s="17"/>
    </row>
    <row r="57" spans="11:13" x14ac:dyDescent="0.2">
      <c r="K57" s="17"/>
      <c r="M57" s="17"/>
    </row>
    <row r="58" spans="11:13" x14ac:dyDescent="0.2">
      <c r="K58" s="17"/>
      <c r="M58" s="17"/>
    </row>
    <row r="59" spans="11:13" x14ac:dyDescent="0.2">
      <c r="K59" s="17"/>
      <c r="M59" s="17"/>
    </row>
    <row r="60" spans="11:13" x14ac:dyDescent="0.2">
      <c r="K60" s="17"/>
      <c r="M60" s="17"/>
    </row>
    <row r="61" spans="11:13" x14ac:dyDescent="0.2">
      <c r="K61" s="17"/>
      <c r="M61" s="17"/>
    </row>
    <row r="62" spans="11:13" x14ac:dyDescent="0.2">
      <c r="K62" s="17"/>
      <c r="M62" s="17"/>
    </row>
    <row r="63" spans="11:13" x14ac:dyDescent="0.2">
      <c r="K63" s="17"/>
      <c r="M63" s="17"/>
    </row>
    <row r="64" spans="11:13" x14ac:dyDescent="0.2">
      <c r="K64" s="17"/>
      <c r="M64" s="17"/>
    </row>
    <row r="65" spans="11:13" x14ac:dyDescent="0.2">
      <c r="K65" s="17"/>
      <c r="M65" s="17"/>
    </row>
    <row r="66" spans="11:13" x14ac:dyDescent="0.2">
      <c r="K66" s="17"/>
      <c r="M66" s="17"/>
    </row>
    <row r="67" spans="11:13" x14ac:dyDescent="0.2">
      <c r="K67" s="17"/>
      <c r="M67" s="17"/>
    </row>
    <row r="68" spans="11:13" x14ac:dyDescent="0.2">
      <c r="K68" s="17"/>
      <c r="M68" s="17"/>
    </row>
    <row r="69" spans="11:13" x14ac:dyDescent="0.2">
      <c r="K69" s="17"/>
      <c r="M69" s="17"/>
    </row>
    <row r="70" spans="11:13" x14ac:dyDescent="0.2">
      <c r="K70" s="17"/>
      <c r="M70" s="17"/>
    </row>
    <row r="71" spans="11:13" x14ac:dyDescent="0.2">
      <c r="K71" s="17"/>
      <c r="M71" s="17"/>
    </row>
    <row r="72" spans="11:13" x14ac:dyDescent="0.2">
      <c r="K72" s="17"/>
      <c r="M72" s="17"/>
    </row>
    <row r="73" spans="11:13" x14ac:dyDescent="0.2">
      <c r="K73" s="17"/>
      <c r="M73" s="17"/>
    </row>
    <row r="74" spans="11:13" x14ac:dyDescent="0.2">
      <c r="K74" s="17"/>
      <c r="M74" s="17"/>
    </row>
    <row r="75" spans="11:13" x14ac:dyDescent="0.2">
      <c r="K75" s="17"/>
      <c r="M75" s="17"/>
    </row>
    <row r="76" spans="11:13" x14ac:dyDescent="0.2">
      <c r="K76" s="17"/>
      <c r="M76" s="17"/>
    </row>
    <row r="77" spans="11:13" x14ac:dyDescent="0.2">
      <c r="K77" s="17"/>
      <c r="M77" s="17"/>
    </row>
    <row r="78" spans="11:13" x14ac:dyDescent="0.2">
      <c r="K78" s="17"/>
      <c r="M78" s="17"/>
    </row>
    <row r="79" spans="11:13" x14ac:dyDescent="0.2">
      <c r="K79" s="17"/>
      <c r="M79" s="17"/>
    </row>
    <row r="80" spans="11:13" x14ac:dyDescent="0.2">
      <c r="K80" s="17"/>
      <c r="M80" s="17"/>
    </row>
    <row r="81" spans="11:13" x14ac:dyDescent="0.2">
      <c r="K81" s="17"/>
      <c r="M81" s="17"/>
    </row>
    <row r="82" spans="11:13" x14ac:dyDescent="0.2">
      <c r="K82" s="17"/>
      <c r="M82" s="17"/>
    </row>
    <row r="83" spans="11:13" x14ac:dyDescent="0.2">
      <c r="K83" s="17"/>
      <c r="M83" s="17"/>
    </row>
    <row r="84" spans="11:13" x14ac:dyDescent="0.2">
      <c r="K84" s="17"/>
      <c r="M84" s="17"/>
    </row>
    <row r="85" spans="11:13" x14ac:dyDescent="0.2">
      <c r="K85" s="17"/>
      <c r="M85" s="17"/>
    </row>
    <row r="86" spans="11:13" x14ac:dyDescent="0.2">
      <c r="K86" s="17"/>
      <c r="M86" s="17"/>
    </row>
    <row r="87" spans="11:13" x14ac:dyDescent="0.2">
      <c r="K87" s="17"/>
      <c r="M87" s="17"/>
    </row>
    <row r="88" spans="11:13" x14ac:dyDescent="0.2">
      <c r="K88" s="17"/>
      <c r="M88" s="17"/>
    </row>
    <row r="89" spans="11:13" x14ac:dyDescent="0.2">
      <c r="K89" s="17"/>
      <c r="M89" s="17"/>
    </row>
    <row r="90" spans="11:13" x14ac:dyDescent="0.2">
      <c r="K90" s="17"/>
      <c r="M90" s="17"/>
    </row>
    <row r="91" spans="11:13" x14ac:dyDescent="0.2">
      <c r="K91" s="17"/>
      <c r="M91" s="17"/>
    </row>
    <row r="92" spans="11:13" x14ac:dyDescent="0.2">
      <c r="K92" s="17"/>
      <c r="M92" s="17"/>
    </row>
    <row r="93" spans="11:13" x14ac:dyDescent="0.2">
      <c r="K93" s="17"/>
      <c r="M93" s="17"/>
    </row>
    <row r="94" spans="11:13" x14ac:dyDescent="0.2">
      <c r="K94" s="17"/>
      <c r="M94" s="17"/>
    </row>
    <row r="95" spans="11:13" x14ac:dyDescent="0.2">
      <c r="K95" s="17"/>
      <c r="M95" s="17"/>
    </row>
    <row r="96" spans="11:13" x14ac:dyDescent="0.2">
      <c r="K96" s="17"/>
      <c r="M96" s="17"/>
    </row>
    <row r="97" spans="11:13" x14ac:dyDescent="0.2">
      <c r="K97" s="17"/>
      <c r="M97" s="17"/>
    </row>
    <row r="98" spans="11:13" x14ac:dyDescent="0.2">
      <c r="K98" s="17"/>
      <c r="M98" s="17"/>
    </row>
    <row r="99" spans="11:13" x14ac:dyDescent="0.2">
      <c r="K99" s="17"/>
      <c r="M99" s="17"/>
    </row>
    <row r="100" spans="11:13" x14ac:dyDescent="0.2">
      <c r="K100" s="17"/>
      <c r="M100" s="17"/>
    </row>
    <row r="101" spans="11:13" x14ac:dyDescent="0.2">
      <c r="K101" s="17"/>
    </row>
    <row r="102" spans="11:13" x14ac:dyDescent="0.2">
      <c r="K102" s="17"/>
    </row>
    <row r="103" spans="11:13" x14ac:dyDescent="0.2">
      <c r="K103" s="17"/>
    </row>
    <row r="104" spans="11:13" x14ac:dyDescent="0.2">
      <c r="K104" s="17"/>
    </row>
    <row r="105" spans="11:13" x14ac:dyDescent="0.2">
      <c r="K105" s="17"/>
    </row>
    <row r="106" spans="11:13" x14ac:dyDescent="0.2">
      <c r="K106" s="17"/>
    </row>
    <row r="107" spans="11:13" x14ac:dyDescent="0.2">
      <c r="K107" s="17"/>
    </row>
    <row r="108" spans="11:13" x14ac:dyDescent="0.2">
      <c r="K108" s="17"/>
    </row>
    <row r="109" spans="11:13" x14ac:dyDescent="0.2">
      <c r="K109" s="17"/>
    </row>
    <row r="110" spans="11:13" x14ac:dyDescent="0.2">
      <c r="K110" s="17"/>
    </row>
    <row r="111" spans="11:13" x14ac:dyDescent="0.2">
      <c r="K111" s="17"/>
    </row>
    <row r="112" spans="11:13" x14ac:dyDescent="0.2">
      <c r="K112" s="17"/>
    </row>
    <row r="113" spans="11:11" x14ac:dyDescent="0.2">
      <c r="K113" s="17"/>
    </row>
    <row r="114" spans="11:11" x14ac:dyDescent="0.2">
      <c r="K114" s="17"/>
    </row>
    <row r="115" spans="11:11" x14ac:dyDescent="0.2">
      <c r="K115" s="17"/>
    </row>
    <row r="116" spans="11:11" x14ac:dyDescent="0.2">
      <c r="K116" s="17"/>
    </row>
    <row r="117" spans="11:11" x14ac:dyDescent="0.2">
      <c r="K117" s="17"/>
    </row>
    <row r="118" spans="11:11" x14ac:dyDescent="0.2">
      <c r="K118" s="17"/>
    </row>
    <row r="119" spans="11:11" x14ac:dyDescent="0.2">
      <c r="K119" s="17"/>
    </row>
    <row r="120" spans="11:11" x14ac:dyDescent="0.2">
      <c r="K120" s="17"/>
    </row>
    <row r="121" spans="11:11" x14ac:dyDescent="0.2">
      <c r="K121" s="17"/>
    </row>
    <row r="122" spans="11:11" x14ac:dyDescent="0.2">
      <c r="K122" s="17"/>
    </row>
    <row r="123" spans="11:11" x14ac:dyDescent="0.2">
      <c r="K123" s="17"/>
    </row>
    <row r="124" spans="11:11" x14ac:dyDescent="0.2">
      <c r="K124" s="17"/>
    </row>
    <row r="125" spans="11:11" x14ac:dyDescent="0.2">
      <c r="K125" s="17"/>
    </row>
    <row r="126" spans="11:11" x14ac:dyDescent="0.2">
      <c r="K126" s="17"/>
    </row>
    <row r="127" spans="11:11" x14ac:dyDescent="0.2">
      <c r="K127" s="17"/>
    </row>
    <row r="128" spans="11:11" x14ac:dyDescent="0.2">
      <c r="K128" s="17"/>
    </row>
  </sheetData>
  <phoneticPr fontId="14" type="noConversion"/>
  <dataValidations count="4">
    <dataValidation type="list" allowBlank="1" showInputMessage="1" showErrorMessage="1" sqref="C4:C21" xr:uid="{0D61785F-552F-FA47-9D66-0459E5514D3C}">
      <formula1>Variant_ID</formula1>
    </dataValidation>
    <dataValidation type="list" allowBlank="1" showInputMessage="1" showErrorMessage="1" sqref="E4:E21" xr:uid="{6456003E-D4E6-B849-8804-3725865D44D6}">
      <formula1>Evidence_Scope</formula1>
    </dataValidation>
    <dataValidation type="list" allowBlank="1" showInputMessage="1" showErrorMessage="1" sqref="B4:B21" xr:uid="{C05803D2-43AF-0B49-9349-DCD57FB3DCF1}">
      <formula1>Aircraft_ID</formula1>
    </dataValidation>
    <dataValidation type="list" allowBlank="1" showInputMessage="1" showErrorMessage="1" sqref="N4:N21" xr:uid="{80672715-7981-4649-A038-FF70241058B4}">
      <formula1>"Yes, No, N/A, UNK"</formula1>
    </dataValidation>
  </dataValidations>
  <hyperlinks>
    <hyperlink ref="J18" r:id="rId1" xr:uid="{71D4372D-E62D-9546-A329-9B33AF37FBEF}"/>
  </hyperlinks>
  <pageMargins left="0.7" right="0.7" top="0.75" bottom="0.75" header="0.3" footer="0.3"/>
  <pageSetup orientation="portrait" horizontalDpi="0" verticalDpi="0"/>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86EA320A-5AB9-334A-A593-FFBB6D3BC3D7}">
          <x14:formula1>
            <xm:f>'Documentation '!$A$21:$A$27</xm:f>
          </x14:formula1>
          <xm:sqref>H4:H21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CD778-8246-7046-89B1-B6CC4BF38021}">
  <dimension ref="A1"/>
  <sheetViews>
    <sheetView workbookViewId="0"/>
  </sheetViews>
  <sheetFormatPr baseColWidth="10" defaultRowHeight="15" x14ac:dyDescent="0.2"/>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8C2F-000F-FC49-9FFB-F0B98744F453}">
  <dimension ref="A1"/>
  <sheetViews>
    <sheetView zoomScaleNormal="100" zoomScaleSheetLayoutView="100" workbookViewId="0">
      <selection activeCell="K14" sqref="K14"/>
    </sheetView>
  </sheetViews>
  <sheetFormatPr baseColWidth="10" defaultColWidth="8.83203125" defaultRowHeight="15" x14ac:dyDescent="0.2"/>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18DCC-F251-9D48-8017-7987BFA146AB}">
  <dimension ref="A1"/>
  <sheetViews>
    <sheetView workbookViewId="0"/>
  </sheetViews>
  <sheetFormatPr baseColWidth="10" defaultRowHeight="15" x14ac:dyDescent="0.2"/>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763C7-82C2-8646-9BA5-E6F61DF053F5}">
  <dimension ref="A1"/>
  <sheetViews>
    <sheetView zoomScaleNormal="100" zoomScaleSheetLayoutView="100" workbookViewId="0"/>
  </sheetViews>
  <sheetFormatPr baseColWidth="10" defaultColWidth="8.83203125" defaultRowHeight="15" x14ac:dyDescent="0.2"/>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DF72F-ADBE-3E47-86B7-45321074E4A8}">
  <dimension ref="A1"/>
  <sheetViews>
    <sheetView workbookViewId="0"/>
  </sheetViews>
  <sheetFormatPr baseColWidth="10" defaultRowHeight="15" x14ac:dyDescent="0.2"/>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CD998-AE40-184A-9872-A4A8C916F6F3}">
  <dimension ref="A1"/>
  <sheetViews>
    <sheetView zoomScaleNormal="100" zoomScaleSheetLayoutView="100" workbookViewId="0"/>
  </sheetViews>
  <sheetFormatPr baseColWidth="10" defaultColWidth="8.83203125" defaultRowHeight="15" x14ac:dyDescent="0.2"/>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CFDD2-B148-3946-8135-B3A9B2C8DBEF}">
  <dimension ref="A1:B12"/>
  <sheetViews>
    <sheetView zoomScaleNormal="100" zoomScaleSheetLayoutView="100" workbookViewId="0">
      <selection activeCell="B12" sqref="B12"/>
    </sheetView>
  </sheetViews>
  <sheetFormatPr baseColWidth="10" defaultColWidth="8.83203125" defaultRowHeight="19" x14ac:dyDescent="0.25"/>
  <cols>
    <col min="1" max="1" width="22.6640625" style="1" customWidth="1"/>
    <col min="2" max="2" width="16.33203125" style="1" customWidth="1"/>
    <col min="3" max="16384" width="8.83203125" style="1"/>
  </cols>
  <sheetData>
    <row r="1" spans="1:2" x14ac:dyDescent="0.25">
      <c r="A1" s="1" t="s">
        <v>7</v>
      </c>
    </row>
    <row r="3" spans="1:2" x14ac:dyDescent="0.25">
      <c r="A3" s="1" t="s">
        <v>8</v>
      </c>
      <c r="B3" s="1" t="s">
        <v>9</v>
      </c>
    </row>
    <row r="4" spans="1:2" x14ac:dyDescent="0.25">
      <c r="A4" s="1" t="s">
        <v>10</v>
      </c>
      <c r="B4" s="3">
        <v>0.25</v>
      </c>
    </row>
    <row r="5" spans="1:2" x14ac:dyDescent="0.25">
      <c r="A5" s="1" t="s">
        <v>11</v>
      </c>
      <c r="B5" s="3">
        <v>0.2</v>
      </c>
    </row>
    <row r="6" spans="1:2" x14ac:dyDescent="0.25">
      <c r="A6" s="1" t="s">
        <v>12</v>
      </c>
      <c r="B6" s="3">
        <v>0.15</v>
      </c>
    </row>
    <row r="7" spans="1:2" x14ac:dyDescent="0.25">
      <c r="A7" s="1" t="s">
        <v>13</v>
      </c>
      <c r="B7" s="3">
        <v>0.15</v>
      </c>
    </row>
    <row r="8" spans="1:2" x14ac:dyDescent="0.25">
      <c r="A8" s="1" t="s">
        <v>14</v>
      </c>
      <c r="B8" s="3">
        <v>0.1</v>
      </c>
    </row>
    <row r="9" spans="1:2" x14ac:dyDescent="0.25">
      <c r="A9" s="1" t="s">
        <v>15</v>
      </c>
      <c r="B9" s="3">
        <v>0.05</v>
      </c>
    </row>
    <row r="10" spans="1:2" x14ac:dyDescent="0.25">
      <c r="A10" s="1" t="s">
        <v>16</v>
      </c>
      <c r="B10" s="3">
        <v>0.05</v>
      </c>
    </row>
    <row r="11" spans="1:2" x14ac:dyDescent="0.25">
      <c r="A11" s="1" t="s">
        <v>17</v>
      </c>
      <c r="B11" s="3">
        <v>0.05</v>
      </c>
    </row>
    <row r="12" spans="1:2" x14ac:dyDescent="0.25">
      <c r="A12" s="1" t="s">
        <v>18</v>
      </c>
      <c r="B12" s="3">
        <f>SUM(B4:B11)</f>
        <v>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E9672-3906-584B-BCEF-9C8891BC5807}">
  <dimension ref="A1:J6"/>
  <sheetViews>
    <sheetView zoomScaleNormal="100" zoomScaleSheetLayoutView="100" workbookViewId="0">
      <selection activeCell="I7" sqref="I7"/>
    </sheetView>
  </sheetViews>
  <sheetFormatPr baseColWidth="10" defaultColWidth="8.83203125" defaultRowHeight="19" x14ac:dyDescent="0.25"/>
  <cols>
    <col min="1" max="1" width="22" style="1" customWidth="1"/>
    <col min="2" max="2" width="22.1640625" style="1" customWidth="1"/>
    <col min="3" max="3" width="20.1640625" style="1" customWidth="1"/>
    <col min="4" max="4" width="25.5" style="1" customWidth="1"/>
    <col min="5" max="5" width="19.5" style="1" customWidth="1"/>
    <col min="6" max="6" width="21" style="1" customWidth="1"/>
    <col min="7" max="7" width="20.33203125" style="1" customWidth="1"/>
    <col min="8" max="8" width="22" style="1" customWidth="1"/>
    <col min="9" max="9" width="17" style="1" customWidth="1"/>
    <col min="10" max="10" width="18.83203125" style="1" customWidth="1"/>
    <col min="11" max="16384" width="8.83203125" style="1"/>
  </cols>
  <sheetData>
    <row r="1" spans="1:10" x14ac:dyDescent="0.25">
      <c r="A1" s="1" t="s">
        <v>19</v>
      </c>
    </row>
    <row r="3" spans="1:10" x14ac:dyDescent="0.25">
      <c r="A3" s="1" t="s">
        <v>20</v>
      </c>
      <c r="B3" s="1" t="s">
        <v>10</v>
      </c>
      <c r="C3" s="1" t="s">
        <v>11</v>
      </c>
      <c r="D3" s="1" t="s">
        <v>12</v>
      </c>
      <c r="E3" s="1" t="s">
        <v>13</v>
      </c>
      <c r="F3" s="1" t="s">
        <v>14</v>
      </c>
      <c r="G3" s="1" t="s">
        <v>15</v>
      </c>
      <c r="H3" s="1" t="s">
        <v>16</v>
      </c>
      <c r="I3" s="1" t="s">
        <v>17</v>
      </c>
      <c r="J3" s="1" t="s">
        <v>21</v>
      </c>
    </row>
    <row r="4" spans="1:10" x14ac:dyDescent="0.25">
      <c r="A4" s="1" t="s">
        <v>22</v>
      </c>
      <c r="B4" s="1">
        <v>90</v>
      </c>
      <c r="C4" s="1">
        <v>92</v>
      </c>
      <c r="D4" s="1">
        <v>95</v>
      </c>
      <c r="E4" s="1">
        <v>98</v>
      </c>
      <c r="F4" s="1">
        <v>95</v>
      </c>
      <c r="G4" s="1">
        <v>90</v>
      </c>
      <c r="H4" s="1">
        <v>92</v>
      </c>
      <c r="I4" s="1">
        <v>82</v>
      </c>
      <c r="J4" s="1" cm="1">
        <f t="array" ref="J4">SUMPRODUCT(B4:I4,TRANSPOSE(Weight_Settings!$B$4:$B$11))</f>
        <v>92.55</v>
      </c>
    </row>
    <row r="5" spans="1:10" x14ac:dyDescent="0.25">
      <c r="A5" s="1" t="s">
        <v>23</v>
      </c>
      <c r="B5" s="1">
        <v>96</v>
      </c>
      <c r="C5" s="1">
        <v>96</v>
      </c>
      <c r="D5" s="1">
        <v>88</v>
      </c>
      <c r="E5" s="1">
        <v>88</v>
      </c>
      <c r="F5" s="1">
        <v>90</v>
      </c>
      <c r="G5" s="1">
        <v>92</v>
      </c>
      <c r="H5" s="1">
        <v>86</v>
      </c>
      <c r="I5" s="1">
        <v>90</v>
      </c>
      <c r="J5" s="1" cm="1">
        <f t="array" ref="J5">SUMPRODUCT(B5:I5,TRANSPOSE(Weight_Settings!$B$4:$B$11))</f>
        <v>92</v>
      </c>
    </row>
    <row r="6" spans="1:10" x14ac:dyDescent="0.25">
      <c r="A6" s="1" t="s">
        <v>24</v>
      </c>
      <c r="B6" s="1">
        <v>72</v>
      </c>
      <c r="C6" s="1">
        <v>82</v>
      </c>
      <c r="D6" s="1">
        <v>55</v>
      </c>
      <c r="E6" s="1">
        <v>68</v>
      </c>
      <c r="F6" s="1">
        <v>45</v>
      </c>
      <c r="G6" s="1">
        <v>60</v>
      </c>
      <c r="H6" s="1">
        <v>45</v>
      </c>
      <c r="I6" s="1">
        <v>75</v>
      </c>
      <c r="J6" s="1" cm="1">
        <f t="array" ref="J6">SUMPRODUCT(B6:I6,TRANSPOSE(Weight_Settings!$B$4:$B$11))</f>
        <v>66.350000000000009</v>
      </c>
    </row>
  </sheetData>
  <pageMargins left="0.7" right="0.7" top="0.75" bottom="0.75" header="0.3" footer="0.3"/>
  <pageSetup orientation="portrait" horizontalDpi="0"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01750-A9C2-D646-94E7-606639C9D6CA}">
  <dimension ref="A1"/>
  <sheetViews>
    <sheetView zoomScaleNormal="100" zoomScaleSheetLayoutView="100" workbookViewId="0"/>
  </sheetViews>
  <sheetFormatPr baseColWidth="10" defaultColWidth="8.83203125" defaultRowHeight="15" x14ac:dyDescent="0.2"/>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EAB16-029C-7A48-8E04-6B379CEDBF9C}">
  <dimension ref="A1"/>
  <sheetViews>
    <sheetView workbookViewId="0"/>
  </sheetViews>
  <sheetFormatPr baseColWidth="10" defaultRowHeight="15" x14ac:dyDescent="0.2"/>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B4685-C664-E94F-B0DA-1105513273F7}">
  <dimension ref="A1:N27"/>
  <sheetViews>
    <sheetView zoomScaleNormal="100" zoomScaleSheetLayoutView="100" workbookViewId="0">
      <selection activeCell="I16" sqref="I16"/>
    </sheetView>
  </sheetViews>
  <sheetFormatPr baseColWidth="10" defaultColWidth="8.83203125" defaultRowHeight="19" x14ac:dyDescent="0.25"/>
  <cols>
    <col min="1" max="1" width="16.33203125" style="1" customWidth="1"/>
    <col min="2" max="2" width="8.83203125" style="1"/>
    <col min="3" max="3" width="20.6640625" style="1" customWidth="1"/>
    <col min="4" max="6" width="8.83203125" style="1"/>
    <col min="7" max="7" width="20.5" style="1" customWidth="1"/>
    <col min="8" max="8" width="8.83203125" style="1"/>
    <col min="9" max="9" width="21.1640625" style="1" customWidth="1"/>
    <col min="10" max="16384" width="8.83203125" style="1"/>
  </cols>
  <sheetData>
    <row r="1" spans="1:14" x14ac:dyDescent="0.25">
      <c r="A1" s="1" t="s">
        <v>39</v>
      </c>
      <c r="C1" s="1" t="s">
        <v>41</v>
      </c>
      <c r="E1" s="1" t="s">
        <v>48</v>
      </c>
      <c r="G1" s="1" t="s">
        <v>53</v>
      </c>
      <c r="I1" s="1" t="s">
        <v>166</v>
      </c>
      <c r="K1" s="1" t="s">
        <v>73</v>
      </c>
      <c r="N1" s="1" t="s">
        <v>74</v>
      </c>
    </row>
    <row r="2" spans="1:14" x14ac:dyDescent="0.25">
      <c r="K2" s="6">
        <f>MAX(tblAircraft[Aircraft ID])+1</f>
        <v>5</v>
      </c>
    </row>
    <row r="3" spans="1:14" x14ac:dyDescent="0.25">
      <c r="A3" s="1" t="s">
        <v>61</v>
      </c>
      <c r="C3" s="1" t="s">
        <v>42</v>
      </c>
      <c r="E3" s="1" t="s">
        <v>49</v>
      </c>
      <c r="G3" s="1" t="s">
        <v>54</v>
      </c>
      <c r="I3" s="6" t="s">
        <v>167</v>
      </c>
      <c r="N3" s="2" t="s">
        <v>75</v>
      </c>
    </row>
    <row r="4" spans="1:14" x14ac:dyDescent="0.25">
      <c r="A4" s="1" t="s">
        <v>22</v>
      </c>
      <c r="C4" s="1" t="s">
        <v>43</v>
      </c>
      <c r="E4" s="1" t="s">
        <v>50</v>
      </c>
      <c r="G4" s="1" t="s">
        <v>55</v>
      </c>
      <c r="I4" s="6" t="s">
        <v>168</v>
      </c>
      <c r="N4" s="2" t="s">
        <v>76</v>
      </c>
    </row>
    <row r="5" spans="1:14" x14ac:dyDescent="0.25">
      <c r="A5" s="1" t="s">
        <v>62</v>
      </c>
      <c r="C5" s="1" t="s">
        <v>44</v>
      </c>
      <c r="E5" s="1" t="s">
        <v>51</v>
      </c>
      <c r="G5" s="1" t="s">
        <v>56</v>
      </c>
      <c r="I5" s="6" t="s">
        <v>169</v>
      </c>
      <c r="N5" s="2" t="s">
        <v>77</v>
      </c>
    </row>
    <row r="6" spans="1:14" x14ac:dyDescent="0.25">
      <c r="A6" s="1" t="s">
        <v>23</v>
      </c>
      <c r="C6" s="1" t="s">
        <v>45</v>
      </c>
      <c r="E6" s="1" t="s">
        <v>52</v>
      </c>
      <c r="G6" s="1" t="s">
        <v>57</v>
      </c>
      <c r="I6" s="6" t="s">
        <v>170</v>
      </c>
      <c r="N6" s="2" t="s">
        <v>78</v>
      </c>
    </row>
    <row r="7" spans="1:14" x14ac:dyDescent="0.25">
      <c r="A7" s="1" t="s">
        <v>24</v>
      </c>
      <c r="C7" s="1" t="s">
        <v>46</v>
      </c>
      <c r="G7" s="1" t="s">
        <v>58</v>
      </c>
      <c r="I7" s="6" t="s">
        <v>171</v>
      </c>
      <c r="N7" s="2" t="s">
        <v>79</v>
      </c>
    </row>
    <row r="8" spans="1:14" x14ac:dyDescent="0.25">
      <c r="C8" s="1" t="s">
        <v>47</v>
      </c>
      <c r="G8" s="1" t="s">
        <v>47</v>
      </c>
      <c r="I8" s="6" t="s">
        <v>172</v>
      </c>
    </row>
    <row r="9" spans="1:14" x14ac:dyDescent="0.25">
      <c r="G9" s="1" t="s">
        <v>59</v>
      </c>
      <c r="I9" s="6" t="s">
        <v>173</v>
      </c>
    </row>
    <row r="10" spans="1:14" x14ac:dyDescent="0.25">
      <c r="I10" s="6" t="s">
        <v>174</v>
      </c>
    </row>
    <row r="11" spans="1:14" x14ac:dyDescent="0.25">
      <c r="I11" s="6" t="s">
        <v>175</v>
      </c>
    </row>
    <row r="12" spans="1:14" x14ac:dyDescent="0.25">
      <c r="I12" s="6" t="s">
        <v>272</v>
      </c>
    </row>
    <row r="13" spans="1:14" x14ac:dyDescent="0.25">
      <c r="I13" s="1" t="s">
        <v>47</v>
      </c>
    </row>
    <row r="19" spans="1:9" x14ac:dyDescent="0.25">
      <c r="A19" t="s">
        <v>86</v>
      </c>
      <c r="C19" t="s">
        <v>118</v>
      </c>
      <c r="E19" s="1" t="s">
        <v>150</v>
      </c>
      <c r="I19" s="1" t="s">
        <v>195</v>
      </c>
    </row>
    <row r="21" spans="1:9" x14ac:dyDescent="0.25">
      <c r="A21" s="8" t="s">
        <v>87</v>
      </c>
      <c r="C21" s="8" t="s">
        <v>119</v>
      </c>
      <c r="E21" s="6" t="s">
        <v>119</v>
      </c>
      <c r="I21" s="6" t="s">
        <v>146</v>
      </c>
    </row>
    <row r="22" spans="1:9" x14ac:dyDescent="0.25">
      <c r="A22" s="8" t="s">
        <v>88</v>
      </c>
      <c r="C22" s="8" t="s">
        <v>97</v>
      </c>
      <c r="E22" s="6" t="s">
        <v>97</v>
      </c>
      <c r="I22" s="6" t="s">
        <v>144</v>
      </c>
    </row>
    <row r="23" spans="1:9" x14ac:dyDescent="0.25">
      <c r="A23" s="8" t="s">
        <v>89</v>
      </c>
      <c r="C23" s="8" t="s">
        <v>120</v>
      </c>
      <c r="E23" s="6" t="s">
        <v>151</v>
      </c>
      <c r="I23" s="6" t="s">
        <v>196</v>
      </c>
    </row>
    <row r="24" spans="1:9" x14ac:dyDescent="0.25">
      <c r="A24" s="8" t="s">
        <v>90</v>
      </c>
      <c r="C24" s="8" t="s">
        <v>121</v>
      </c>
    </row>
    <row r="25" spans="1:9" x14ac:dyDescent="0.25">
      <c r="A25" s="8" t="s">
        <v>91</v>
      </c>
      <c r="C25" s="8" t="s">
        <v>122</v>
      </c>
    </row>
    <row r="26" spans="1:9" x14ac:dyDescent="0.25">
      <c r="A26" s="8" t="s">
        <v>92</v>
      </c>
    </row>
    <row r="27" spans="1:9" x14ac:dyDescent="0.25">
      <c r="A27" s="8" t="s">
        <v>47</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29</vt:i4>
      </vt:variant>
      <vt:variant>
        <vt:lpstr>Named Ranges</vt:lpstr>
      </vt:variant>
      <vt:variant>
        <vt:i4>16</vt:i4>
      </vt:variant>
    </vt:vector>
  </HeadingPairs>
  <TitlesOfParts>
    <vt:vector size="45" baseType="lpstr">
      <vt:lpstr>Dashboard </vt:lpstr>
      <vt:lpstr>---- MANUFACTURERS ----</vt:lpstr>
      <vt:lpstr>Manufacturers_DB</vt:lpstr>
      <vt:lpstr>---- AIRCRAFT ----</vt:lpstr>
      <vt:lpstr>Aircraft-db</vt:lpstr>
      <vt:lpstr>Aircraft_Variants</vt:lpstr>
      <vt:lpstr>Engines_DB</vt:lpstr>
      <vt:lpstr>Variant-Engines</vt:lpstr>
      <vt:lpstr>Aircraft_Configurations</vt:lpstr>
      <vt:lpstr>Systems_Depth</vt:lpstr>
      <vt:lpstr>Evaluation_Sources</vt:lpstr>
      <vt:lpstr>---- AVIONICS ----</vt:lpstr>
      <vt:lpstr>Avionics_DB</vt:lpstr>
      <vt:lpstr>Configuration_Avionics</vt:lpstr>
      <vt:lpstr>Avionics_Evaluations</vt:lpstr>
      <vt:lpstr>Avionics_Evaluation_Sources</vt:lpstr>
      <vt:lpstr>---- EVIDENCE ----</vt:lpstr>
      <vt:lpstr>Sources_DB</vt:lpstr>
      <vt:lpstr>---- SCENERY ----</vt:lpstr>
      <vt:lpstr>Airport-db</vt:lpstr>
      <vt:lpstr>---- DEVELOPERS ----</vt:lpstr>
      <vt:lpstr>Developer-db</vt:lpstr>
      <vt:lpstr>---- SCORING ----</vt:lpstr>
      <vt:lpstr>Quarterly_data</vt:lpstr>
      <vt:lpstr>Weight_Settings</vt:lpstr>
      <vt:lpstr>Scoring_engine</vt:lpstr>
      <vt:lpstr>Forecast </vt:lpstr>
      <vt:lpstr>---- ADMIN ----</vt:lpstr>
      <vt:lpstr>Documentation </vt:lpstr>
      <vt:lpstr>Aircraft_ID</vt:lpstr>
      <vt:lpstr>AircraftIDs</vt:lpstr>
      <vt:lpstr>Avionics_Evaluation_ID</vt:lpstr>
      <vt:lpstr>Avionics_Evaluation_Source_ID</vt:lpstr>
      <vt:lpstr>Avionics_Evidence_Role</vt:lpstr>
      <vt:lpstr>Avionics_ID</vt:lpstr>
      <vt:lpstr>Avionics_Type</vt:lpstr>
      <vt:lpstr>Configuration_Avionics_ID</vt:lpstr>
      <vt:lpstr>Configuration_ID</vt:lpstr>
      <vt:lpstr>Engine_ID</vt:lpstr>
      <vt:lpstr>Evaluation_ID</vt:lpstr>
      <vt:lpstr>Evaluation_Scope</vt:lpstr>
      <vt:lpstr>Evidence_Scope</vt:lpstr>
      <vt:lpstr>Manufacturer_ID</vt:lpstr>
      <vt:lpstr>Source_ID</vt:lpstr>
      <vt:lpstr>Variant_ID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FSEI Project</dc:title>
  <dc:subject/>
  <dc:creator>Morris, John</dc:creator>
  <cp:keywords/>
  <dc:description/>
  <cp:lastModifiedBy>John Morris</cp:lastModifiedBy>
  <dcterms:created xsi:type="dcterms:W3CDTF">2026-09-05T05:47:30Z</dcterms:created>
  <dcterms:modified xsi:type="dcterms:W3CDTF">2026-09-21T06:39:44Z</dcterms:modified>
  <cp:category>Flight Simulation</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19ca94-c290-44a3-80c4-dfd6adf0620b_Enabled">
    <vt:lpwstr>true</vt:lpwstr>
  </property>
  <property fmtid="{D5CDD505-2E9C-101B-9397-08002B2CF9AE}" pid="3" name="MSIP_Label_eb19ca94-c290-44a3-80c4-dfd6adf0620b_SetDate">
    <vt:lpwstr>2026-09-05T09:47:38Z</vt:lpwstr>
  </property>
  <property fmtid="{D5CDD505-2E9C-101B-9397-08002B2CF9AE}" pid="4" name="MSIP_Label_eb19ca94-c290-44a3-80c4-dfd6adf0620b_Method">
    <vt:lpwstr>Privileged</vt:lpwstr>
  </property>
  <property fmtid="{D5CDD505-2E9C-101B-9397-08002B2CF9AE}" pid="5" name="MSIP_Label_eb19ca94-c290-44a3-80c4-dfd6adf0620b_Name">
    <vt:lpwstr>Amazon Public</vt:lpwstr>
  </property>
  <property fmtid="{D5CDD505-2E9C-101B-9397-08002B2CF9AE}" pid="6" name="MSIP_Label_eb19ca94-c290-44a3-80c4-dfd6adf0620b_SiteId">
    <vt:lpwstr>5280104a-472d-4538-9ccf-1e1d0efe8b1b</vt:lpwstr>
  </property>
  <property fmtid="{D5CDD505-2E9C-101B-9397-08002B2CF9AE}" pid="7" name="MSIP_Label_eb19ca94-c290-44a3-80c4-dfd6adf0620b_ActionId">
    <vt:lpwstr>0b9342eb-4b9c-4ed8-8ebd-2b212aafae1d</vt:lpwstr>
  </property>
  <property fmtid="{D5CDD505-2E9C-101B-9397-08002B2CF9AE}" pid="8" name="MSIP_Label_eb19ca94-c290-44a3-80c4-dfd6adf0620b_ContentBits">
    <vt:lpwstr>0</vt:lpwstr>
  </property>
  <property fmtid="{D5CDD505-2E9C-101B-9397-08002B2CF9AE}" pid="9" name="MSIP_Label_eb19ca94-c290-44a3-80c4-dfd6adf0620b_Tag">
    <vt:lpwstr>60, 0, 1, 1</vt:lpwstr>
  </property>
</Properties>
</file>